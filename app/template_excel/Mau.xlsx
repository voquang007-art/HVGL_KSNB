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720" windowHeight="1158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<sst xmlns="http://schemas.openxmlformats.org/spreadsheetml/2006/main" count="205" uniqueCount="143">
  <si>
    <t>CÔNG TY TNHH BỆNH VIỆN</t>
  </si>
  <si>
    <t>CỘNG HÒA XÃ HỘI CHỦ NGHĨA VIỆT NAM</t>
  </si>
  <si>
    <t xml:space="preserve">   HÙNG VƯƠNG GIA LAI</t>
  </si>
  <si>
    <t>Độc lập – Tự do – Hạnh phúc</t>
  </si>
  <si>
    <t>BAN KIỂM SOÁT NỘI BỘ</t>
  </si>
  <si>
    <t>Gia Lai, ngày  15 tháng  04 năm 2026</t>
  </si>
  <si>
    <t>PHIẾU KIỂM SOÁT TRƯỚC HỒ SƠ THU, CHI QUAN TRỌNG</t>
  </si>
  <si>
    <t>I. THÔNG TIN CHUNG</t>
  </si>
  <si>
    <r>
      <rPr>
        <sz val="12"/>
        <color theme="1"/>
        <rFont val="Times New Roman"/>
        <charset val="134"/>
      </rPr>
      <t xml:space="preserve">1. Tên hồ sơ/khoản thu, chi: </t>
    </r>
    <r>
      <rPr>
        <b/>
        <sz val="12"/>
        <color theme="1"/>
        <rFont val="Times New Roman"/>
        <charset val="134"/>
      </rPr>
      <t>Hồ sơ chuyển tiền ngân hàng</t>
    </r>
  </si>
  <si>
    <t>2. Loại hồ sơ:</t>
  </si>
  <si>
    <t xml:space="preserve">           ☐ Thu quan trọng                                ☑ Chi quan trọng</t>
  </si>
  <si>
    <t xml:space="preserve">3. Số tiền: </t>
  </si>
  <si>
    <t xml:space="preserve">4. Đơn vị lập hồ sơ: Phòng Tài Chính Kế Toán </t>
  </si>
  <si>
    <r>
      <rPr>
        <sz val="12"/>
        <rFont val="Times New Roman"/>
        <charset val="134"/>
      </rPr>
      <t xml:space="preserve">5. Người giao hồ sơ:  </t>
    </r>
    <r>
      <rPr>
        <b/>
        <sz val="12"/>
        <rFont val="Times New Roman"/>
        <charset val="134"/>
      </rPr>
      <t>Nguyễn Thị Kiều Trâm</t>
    </r>
  </si>
  <si>
    <r>
      <rPr>
        <sz val="12"/>
        <color theme="1"/>
        <rFont val="Times New Roman"/>
        <charset val="134"/>
      </rPr>
      <t xml:space="preserve">6. Ngày tiếp nhận hồ sơ tại Ban Kiểm soát nội bộ: </t>
    </r>
    <r>
      <rPr>
        <b/>
        <sz val="12"/>
        <color theme="1"/>
        <rFont val="Times New Roman"/>
        <charset val="134"/>
      </rPr>
      <t>14/04/2026 (15h00)</t>
    </r>
  </si>
  <si>
    <t>7. Hình thức trình phê duyệt:</t>
  </si>
  <si>
    <t>☑ Trình Hội đồng thành viên</t>
  </si>
  <si>
    <t>☐ Trình Chủ tịch Hội đồng thành viên</t>
  </si>
  <si>
    <t>II. NỘI DUNG KIỂM SOÁT TRƯỚC</t>
  </si>
  <si>
    <t>STT</t>
  </si>
  <si>
    <t>Nội dung rà soát, kiểm soát</t>
  </si>
  <si>
    <t>Ghi Chú</t>
  </si>
  <si>
    <t>Căn cứ pháp lý của khoản thu, khoản chi</t>
  </si>
  <si>
    <t>Căn cứ nội bộ, thẩm quyền trình và phê duyệt</t>
  </si>
  <si>
    <t>Tính đầy đủ của hồ sơ, tài liệu kèm theo</t>
  </si>
  <si>
    <t>Tính hợp lệ, hợp pháp, thống nhất của chứng từ</t>
  </si>
  <si>
    <t>Sự phù hợp với nghị quyết, quyết định, kế hoạch, dự toán, hợp đồng, biên bản nghiệm thu hoặc hồ sơ liên quan</t>
  </si>
  <si>
    <t>Sự phù hợp về số tiền, nội dung, đối tượng, thời điểm thu, chi</t>
  </si>
  <si>
    <t>Việc tuân thủ phân công, phân nhiệm, bất kiêm nhiệm, ủy quyền</t>
  </si>
  <si>
    <t>Dấu hiệu xung đột lợi ích, ưu ái, thiếu minh bạch (nếu có)</t>
  </si>
  <si>
    <t>Dấu hiệu bất thường, vượt thẩm quyền, vượt định mức, vượt dự toán hoặc rủi ro khác</t>
  </si>
  <si>
    <t>Nội dung khác cần lưu ý</t>
  </si>
  <si>
    <t>III. DANH MỤC HỒ SƠ, TÀI LIỆU NHẬN KIỂM SOÁT</t>
  </si>
  <si>
    <t xml:space="preserve">NHÀ CUNG CẤP </t>
  </si>
  <si>
    <t>NỘI DUNG</t>
  </si>
  <si>
    <t xml:space="preserve">SỐ TIỀN </t>
  </si>
  <si>
    <t>BAN KSNB KT</t>
  </si>
  <si>
    <t>Công ty Cổ phần xây dựng Trung Nguyên</t>
  </si>
  <si>
    <t>Bê tông thương phẩm cải tạo bãi đỗ xe trước nhà 11 tầng</t>
  </si>
  <si>
    <t>Công ty TNHH Thiết Bị Y Tế Tất Thành</t>
  </si>
  <si>
    <t>Thanh toán đợt 2: 50% giá trị theo hợp đồng số: 1912/2025/HĐMB/YHV-TT
V/v cung cấp 20 bộ nôi trẻ em</t>
  </si>
  <si>
    <t>Công ty Cổ Phần Chứng Nhận và Kiểm Định Vinacontrol</t>
  </si>
  <si>
    <t xml:space="preserve">Thanh toán tiền kiểm định thiết bị theo hợp đồng số 12/2026/HĐNT/VNCE-HVGL </t>
  </si>
  <si>
    <t xml:space="preserve">CÔNG TY TNHH 3S DENT </t>
  </si>
  <si>
    <t>Vật tư y tế (nha khoa)</t>
  </si>
  <si>
    <t>CÔNG TY TNHH BÌNH VIỆT ĐỨC</t>
  </si>
  <si>
    <t>Thuốc</t>
  </si>
  <si>
    <t>CÔNG TY TNHH THƯƠNG MẠI DƯỢC PHẨM ĐAN THANH</t>
  </si>
  <si>
    <t>Hậu Giang</t>
  </si>
  <si>
    <t>CÔNG TY TNHH DƯỢC PHẨM ĐỨC ANH</t>
  </si>
  <si>
    <t>Việt Đức</t>
  </si>
  <si>
    <t>CÔNG TY CỔ PHẦN Y TẾ FUSION</t>
  </si>
  <si>
    <t>Vật tư y tế</t>
  </si>
  <si>
    <t>CÔNG TY CỔ PHẦN TRANG THIẾT BỊ Y TẾ HẠNH NGUYÊN</t>
  </si>
  <si>
    <t>CÔNG TY TNHH MTV THƯƠNG MẠI VÀ DƯỢC PHẨM HNJ</t>
  </si>
  <si>
    <t>Công ty TNHH K.A.L.H.U</t>
  </si>
  <si>
    <t>Công ty TNHH Dược Phẩm Khương Duy</t>
  </si>
  <si>
    <t>Minh Trí</t>
  </si>
  <si>
    <t>CÔNG TY TNHH DƯỢC MỸ PHẨM SEN VÀNG</t>
  </si>
  <si>
    <t>CÔNG TY CỔ PHẦN DƯỢC LIỆU TRUNG ƯƠNG 2</t>
  </si>
  <si>
    <t>Thuốc và vaccin</t>
  </si>
  <si>
    <t>CÔNG TY CỔ PHẦN PYMEPHARCO</t>
  </si>
  <si>
    <t>Song Tín</t>
  </si>
  <si>
    <t xml:space="preserve">Vật tư y tế </t>
  </si>
  <si>
    <t>CÔNG TY CP DƯỢC - THIẾT BỊ Y TẾ ĐÀ NẴNG</t>
  </si>
  <si>
    <t>Vaccine</t>
  </si>
  <si>
    <t>XNK Thiên Kim</t>
  </si>
  <si>
    <t>Công ty TNHH MTV Dược Trí Tín Hải</t>
  </si>
  <si>
    <t>Công ty Cổ phần Dược -Vật tư Y tế ĐắkLắk</t>
  </si>
  <si>
    <t>CÔNG TY CP DƯỢC PHẨM THẾ GIỚI MỚI</t>
  </si>
  <si>
    <t>CÔNG TY CP THƯƠNG MẠI DƯỢC PHẨM PVN</t>
  </si>
  <si>
    <t>Công Ty TNHH Dược Phẩm Châu Á - Thái Bình Dương</t>
  </si>
  <si>
    <t>CHI NHÁNH TẠI THÀNH PHỐ HỒ CHÍ MINH - CÔNG TY TNHH DƯỢC THỐNG NHẤT</t>
  </si>
  <si>
    <t>CÔNG TY TRÁCH NHIỆM HỮU HẠN THƯƠNG MẠI DƯỢC PHẨM THIÊN KIM</t>
  </si>
  <si>
    <t>CÔNG TY TNHH M &amp; N HỢP NHẤT</t>
  </si>
  <si>
    <t>CÔNG TY TNHH THIẾT BỊ Y TẾ NHẤT TÂM</t>
  </si>
  <si>
    <t>CÔNG TY TNHH TM DƯỢC ZETA HEALTH</t>
  </si>
  <si>
    <t>CÔNG TY TNHH VẬT TƯ THIẾT BỊ Y TẾ TÂM AN</t>
  </si>
  <si>
    <t xml:space="preserve">CÔNG TY CP TRANG THIẾT BỊ Y TẾ ĐỨC TÍN </t>
  </si>
  <si>
    <t>CÔNG TY CỔ PHẦN DƯỢC PHẨM OPC</t>
  </si>
  <si>
    <t>CÔNG TY CỔ PHẦN DƯỢC LIỆU VIỆT NAM</t>
  </si>
  <si>
    <t xml:space="preserve"> CÔNG TY TNHH THƯƠNG MẠI Y TẾ PHÚ GIA</t>
  </si>
  <si>
    <t>Hóa chất xét nghiệm</t>
  </si>
  <si>
    <t>CÔNG TY TNHH DƯỢC MỸ PHẨM CHÂU ÂU</t>
  </si>
  <si>
    <t>Mỹ phẩm</t>
  </si>
  <si>
    <t>VHN</t>
  </si>
  <si>
    <t>CÔNG TY TNHH DKSH VIỆT NAM</t>
  </si>
  <si>
    <t>CP Việt Nam</t>
  </si>
  <si>
    <t>Heo, gà, trứng</t>
  </si>
  <si>
    <t>Bùi Thị Năm</t>
  </si>
  <si>
    <t>Hàng hóa nhà thuốc, siêu thị</t>
  </si>
  <si>
    <t>Đan Thanh</t>
  </si>
  <si>
    <t>hàng hóa nhà thuốc, siêu thị</t>
  </si>
  <si>
    <t>Nhất Nam</t>
  </si>
  <si>
    <t>Hameco</t>
  </si>
  <si>
    <t>Dược Khoa Xanh</t>
  </si>
  <si>
    <t>Như Trần Ngọc (thay Kim Ngọc)</t>
  </si>
  <si>
    <t>Thương mại SAV (Mason)</t>
  </si>
  <si>
    <t xml:space="preserve">Merap </t>
  </si>
  <si>
    <t>Mesa</t>
  </si>
  <si>
    <t>Nam Dược</t>
  </si>
  <si>
    <t>Nutricare</t>
  </si>
  <si>
    <t>Nutrimax</t>
  </si>
  <si>
    <t>Pharmedic</t>
  </si>
  <si>
    <t>Âu Châu</t>
  </si>
  <si>
    <t>Quốc Tế Genex</t>
  </si>
  <si>
    <t>Riopharma</t>
  </si>
  <si>
    <t>CÔNG TY TNHH PHÚC AN KHÁNH PHÚ THỌ</t>
  </si>
  <si>
    <t>Yeonchi</t>
  </si>
  <si>
    <t>CÔNG TY TNHH EON PHARMA</t>
  </si>
  <si>
    <t>NPT Pharma</t>
  </si>
  <si>
    <t>CÔNG TY TNHH ĐẠI BẮC - MIỀN NAM</t>
  </si>
  <si>
    <t xml:space="preserve">  Điện công nghiệp - Điện nước dân dụng Như Ý</t>
  </si>
  <si>
    <t>Vật Tư Điện</t>
  </si>
  <si>
    <t>Công ty Cổ Phần Thương Mại &amp; Công Nghệ Hải Âu</t>
  </si>
  <si>
    <t>Linh kiện Vietfones</t>
  </si>
  <si>
    <t>Công ty TNHH Công Vinh Gia Lai xe</t>
  </si>
  <si>
    <t>Nội thất xe MPV7</t>
  </si>
  <si>
    <t>CÔNG TY ĐIỆN LỰC GIA LAI</t>
  </si>
  <si>
    <t>Tiền điện kỳ 3 tháng 03/2026</t>
  </si>
  <si>
    <t>An Nhiên</t>
  </si>
  <si>
    <t>Vé máy bay</t>
  </si>
  <si>
    <t>Công ty Bảo hiểm bưu điện Bình Định</t>
  </si>
  <si>
    <t>Bảo hiểm vật chất xe 81A-73216</t>
  </si>
  <si>
    <t xml:space="preserve">TỔNG CỘNG </t>
  </si>
  <si>
    <t>IV. KẾT QUẢ KIỂM SOÁT TRƯỚC</t>
  </si>
  <si>
    <t>Sau khi rà soát hồ sơ, Ban Kiểm soát nội bộ có ý kiến như sau:</t>
  </si>
  <si>
    <r>
      <rPr>
        <sz val="12"/>
        <color theme="1"/>
        <rFont val="Aptos Narrow"/>
        <charset val="134"/>
      </rPr>
      <t>☑</t>
    </r>
    <r>
      <rPr>
        <sz val="12"/>
        <color theme="1"/>
        <rFont val="Times New Roman"/>
        <charset val="134"/>
      </rPr>
      <t xml:space="preserve"> </t>
    </r>
    <r>
      <rPr>
        <b/>
        <sz val="12"/>
        <color theme="1"/>
        <rFont val="Times New Roman"/>
        <charset val="134"/>
      </rPr>
      <t>Hồ sơ đủ điều kiện trình phê duyệt</t>
    </r>
  </si>
  <si>
    <r>
      <rPr>
        <sz val="12"/>
        <color theme="1"/>
        <rFont val="Times New Roman"/>
        <charset val="134"/>
      </rPr>
      <t xml:space="preserve">☐ </t>
    </r>
    <r>
      <rPr>
        <b/>
        <sz val="12"/>
        <color theme="1"/>
        <rFont val="Times New Roman"/>
        <charset val="134"/>
      </rPr>
      <t>Hồ sơ cần bổ sung, chỉnh sửa trước khi trình phê duyệt</t>
    </r>
  </si>
  <si>
    <r>
      <rPr>
        <sz val="12"/>
        <color theme="1"/>
        <rFont val="Times New Roman"/>
        <charset val="134"/>
      </rPr>
      <t xml:space="preserve">☐ </t>
    </r>
    <r>
      <rPr>
        <b/>
        <sz val="12"/>
        <color theme="1"/>
        <rFont val="Times New Roman"/>
        <charset val="134"/>
      </rPr>
      <t>Hồ sơ chưa đủ điều kiện trình phê duyệt</t>
    </r>
  </si>
  <si>
    <t>V. KIẾN NGHỊ CỦA BAN KIỂM SOÁT NỘI BỘ</t>
  </si>
  <si>
    <t>1. Nội dung kiến nghị bổ sung/chỉnh sửa/hoàn thiện:</t>
  </si>
  <si>
    <t>...........................................................................................................................................</t>
  </si>
  <si>
    <t>2. Tài liệu cần bổ sung (nếu có):</t>
  </si>
  <si>
    <t>3. Kiến nghị khác:</t>
  </si>
  <si>
    <t>VI. Ý KIẾN CỦA ĐƠN VỊ LẬP HỒ SƠ</t>
  </si>
  <si>
    <t>(Trường hợp cần ghi nhận ngay trên phiếu)</t>
  </si>
  <si>
    <t>V. KẾT LUẬN CỦA BAN KIỂM SOÁT NỘI BỘ</t>
  </si>
  <si>
    <t xml:space="preserve">       Ban Kiểm soát nội bộ thực hiện kiểm soát trước đối với hồ sơ nêu trên theo chức năng kiểm soát, thẩm tra và kiến nghị; không thay thế trách nhiệm lập hồ sơ của Phòng Tài chính kế toán hoặc đơn vị liên quan, không thay thế thẩm quyền quyết định, phê duyệt của Hội đồng thành viên hoặc Chủ tịch Hội đồng thành viên.</t>
  </si>
  <si>
    <t xml:space="preserve">                   Người kiểm soát                                                             Trưởng Ban Kiểm soát nội bộ</t>
  </si>
  <si>
    <t xml:space="preserve">                  (Ký, ghi rõ họ tên)                                                                      (Ký, ghi rõ họ tên)</t>
  </si>
  <si>
    <t xml:space="preserve">      Trần Thị Thanh Hiếu</t>
  </si>
  <si>
    <t>Võ Như Minh Quang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</si>
</sst>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_);_(* \(#,##0\);_(* &quot;-&quot;??_);_(@_)"/>
  </numFmts>
  <fonts count="31">
    <font>
      <sz val="11"/>
      <color theme="1"/>
      <name val="Calibri"/>
      <charset val="134"/>
      <scheme val="minor"/>
    </font>
    <font>
      <b/>
      <sz val="12"/>
      <color theme="1"/>
      <name val="Times New Roman"/>
      <charset val="134"/>
    </font>
    <font>
      <sz val="12"/>
      <color theme="1"/>
      <name val="Times New Roman"/>
      <charset val="134"/>
    </font>
    <font>
      <b/>
      <i/>
      <sz val="12"/>
      <color theme="1"/>
      <name val="Times New Roman"/>
      <charset val="134"/>
    </font>
    <font>
      <b/>
      <sz val="14"/>
      <color theme="1"/>
      <name val="Times New Roman"/>
      <charset val="134"/>
    </font>
    <font>
      <sz val="12"/>
      <name val="Times New Roman"/>
      <charset val="134"/>
    </font>
    <font>
      <b/>
      <sz val="11"/>
      <color theme="1"/>
      <name val="Times New Roman"/>
      <charset val="134"/>
    </font>
    <font>
      <sz val="11"/>
      <color theme="1"/>
      <name val="Times New Roman"/>
      <charset val="134"/>
    </font>
    <font>
      <sz val="12"/>
      <color theme="1"/>
      <name val="Times New Roman"/>
      <charset val="134"/>
    </font>
    <font>
      <i/>
      <sz val="12"/>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name val="Times New Roman"/>
      <charset val="134"/>
    </font>
    <font>
      <sz val="12"/>
      <color theme="1"/>
      <name val="Aptos Narro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3" borderId="8" applyNumberFormat="0" applyAlignment="0" applyProtection="0">
      <alignment vertical="center"/>
    </xf>
    <xf numFmtId="0" fontId="19" fillId="4" borderId="9" applyNumberFormat="0" applyAlignment="0" applyProtection="0">
      <alignment vertical="center"/>
    </xf>
    <xf numFmtId="0" fontId="20" fillId="4" borderId="8" applyNumberFormat="0" applyAlignment="0" applyProtection="0">
      <alignment vertical="center"/>
    </xf>
    <xf numFmtId="0" fontId="21" fillId="5"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45">
    <xf numFmtId="0" fontId="0" fillId="0" borderId="0" xfId="0">
      <alignment vertical="center"/>
    </xf>
    <xf numFmtId="0" fontId="1" fillId="0" borderId="0" xfId="0" applyFont="1" applyFill="1" applyAlignment="1">
      <alignment horizontal="left" vertical="center" wrapText="1"/>
    </xf>
    <xf numFmtId="0" fontId="1" fillId="0" borderId="0" xfId="0" applyFont="1" applyFill="1" applyAlignment="1">
      <alignment horizontal="centerContinuous" vertical="center" wrapText="1"/>
    </xf>
    <xf numFmtId="0" fontId="2" fillId="0" borderId="0" xfId="0" applyFont="1" applyFill="1" applyAlignment="1">
      <alignment horizontal="centerContinuous" vertical="center"/>
    </xf>
    <xf numFmtId="0" fontId="2" fillId="0" borderId="0" xfId="0" applyFont="1" applyFill="1" applyAlignment="1"/>
    <xf numFmtId="0" fontId="3" fillId="0" borderId="0" xfId="0" applyFont="1" applyFill="1" applyAlignment="1">
      <alignment horizontal="centerContinuous" wrapText="1"/>
    </xf>
    <xf numFmtId="0" fontId="4" fillId="0" borderId="0" xfId="0" applyFont="1" applyFill="1" applyAlignment="1">
      <alignment horizontal="centerContinuous" vertical="center"/>
    </xf>
    <xf numFmtId="0" fontId="1" fillId="0" borderId="0" xfId="0" applyFont="1" applyFill="1" applyAlignment="1">
      <alignment vertical="center"/>
    </xf>
    <xf numFmtId="0" fontId="2" fillId="0" borderId="0" xfId="0" applyFont="1" applyFill="1" applyAlignment="1">
      <alignment vertical="center"/>
    </xf>
    <xf numFmtId="0" fontId="5" fillId="0" borderId="0" xfId="0" applyFont="1" applyFill="1" applyAlignment="1">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left" vertical="center" wrapText="1"/>
    </xf>
    <xf numFmtId="0" fontId="6" fillId="0" borderId="1" xfId="0" applyFont="1" applyFill="1" applyBorder="1" applyAlignment="1"/>
    <xf numFmtId="0" fontId="6" fillId="0" borderId="1" xfId="0" applyFont="1" applyFill="1" applyBorder="1" applyAlignment="1">
      <alignment horizontal="center"/>
    </xf>
    <xf numFmtId="0" fontId="7" fillId="0" borderId="1" xfId="0" applyFont="1" applyFill="1" applyBorder="1" applyAlignment="1">
      <alignment horizontal="center" vertical="center"/>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4" xfId="0" applyFont="1" applyFill="1" applyBorder="1" applyAlignment="1">
      <alignment horizontal="left" vertical="center" wrapText="1"/>
    </xf>
    <xf numFmtId="178" fontId="7" fillId="0" borderId="2" xfId="1" applyNumberFormat="1" applyFont="1" applyBorder="1" applyAlignment="1">
      <alignment horizontal="centerContinuous" vertical="center"/>
    </xf>
    <xf numFmtId="178" fontId="7" fillId="0" borderId="4" xfId="1" applyNumberFormat="1" applyFont="1" applyBorder="1" applyAlignment="1">
      <alignment horizontal="centerContinuous" vertical="center"/>
    </xf>
    <xf numFmtId="0" fontId="7" fillId="0" borderId="1" xfId="0" applyFont="1" applyFill="1" applyBorder="1" applyAlignment="1">
      <alignment horizontal="center"/>
    </xf>
    <xf numFmtId="0" fontId="7" fillId="0" borderId="2" xfId="0" applyFont="1" applyFill="1" applyBorder="1" applyAlignment="1">
      <alignment horizontal="left"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178" fontId="6" fillId="0" borderId="2" xfId="1" applyNumberFormat="1" applyFont="1" applyBorder="1" applyAlignment="1">
      <alignment horizontal="centerContinuous" vertical="center"/>
    </xf>
    <xf numFmtId="178" fontId="1" fillId="0" borderId="4" xfId="1" applyNumberFormat="1" applyFont="1" applyBorder="1" applyAlignment="1">
      <alignment horizontal="centerContinuous" vertical="center"/>
    </xf>
    <xf numFmtId="178" fontId="1" fillId="0" borderId="1" xfId="0" applyNumberFormat="1" applyFont="1" applyFill="1" applyBorder="1" applyAlignment="1">
      <alignment horizontal="center"/>
    </xf>
    <xf numFmtId="0" fontId="1" fillId="0" borderId="1" xfId="0" applyFont="1" applyFill="1" applyBorder="1" applyAlignment="1">
      <alignment horizontal="center"/>
    </xf>
    <xf numFmtId="0" fontId="1" fillId="0" borderId="0" xfId="0" applyFont="1" applyFill="1" applyAlignment="1">
      <alignment horizontal="center" vertical="center"/>
    </xf>
    <xf numFmtId="178" fontId="6" fillId="0" borderId="0" xfId="1" applyNumberFormat="1" applyFont="1" applyBorder="1" applyAlignment="1">
      <alignment horizontal="centerContinuous" vertical="center"/>
    </xf>
    <xf numFmtId="178" fontId="1" fillId="0" borderId="0" xfId="1" applyNumberFormat="1" applyFont="1" applyBorder="1" applyAlignment="1">
      <alignment horizontal="centerContinuous" vertical="center"/>
    </xf>
    <xf numFmtId="0" fontId="1" fillId="0" borderId="0" xfId="0" applyFont="1" applyFill="1" applyAlignment="1">
      <alignment horizontal="center"/>
    </xf>
    <xf numFmtId="0" fontId="8" fillId="0" borderId="0" xfId="0" applyFont="1" applyFill="1" applyAlignment="1">
      <alignment vertical="center"/>
    </xf>
    <xf numFmtId="0" fontId="9" fillId="0" borderId="0" xfId="0" applyFont="1" applyFill="1" applyAlignment="1">
      <alignment vertical="center"/>
    </xf>
    <xf numFmtId="0" fontId="2" fillId="0" borderId="0" xfId="0" applyFont="1" applyFill="1" applyAlignment="1">
      <alignment horizontal="left" vertical="center" wrapText="1"/>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20955</xdr:colOff>
      <xdr:row>2</xdr:row>
      <xdr:rowOff>38100</xdr:rowOff>
    </xdr:from>
    <xdr:to>
      <xdr:col>6</xdr:col>
      <xdr:colOff>373380</xdr:colOff>
      <xdr:row>2</xdr:row>
      <xdr:rowOff>38100</xdr:rowOff>
    </xdr:to>
    <xdr:cxnSp>
      <xdr:nvCxnSpPr>
        <xdr:cNvPr id="2" name="Straight Connector 1"/>
        <xdr:cNvCxnSpPr/>
      </xdr:nvCxnSpPr>
      <xdr:spPr>
        <a:xfrm>
          <a:off x="5078730" y="438150"/>
          <a:ext cx="15716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128158</xdr:colOff>
      <xdr:row>2</xdr:row>
      <xdr:rowOff>283787</xdr:rowOff>
    </xdr:from>
    <xdr:to>
      <xdr:col>1</xdr:col>
      <xdr:colOff>1411435</xdr:colOff>
      <xdr:row>2</xdr:row>
      <xdr:rowOff>285750</xdr:rowOff>
    </xdr:to>
    <xdr:cxnSp>
      <xdr:nvCxnSpPr>
        <xdr:cNvPr id="3" name="Straight Connector 2"/>
        <xdr:cNvCxnSpPr/>
      </xdr:nvCxnSpPr>
      <xdr:spPr>
        <a:xfrm>
          <a:off x="127635" y="600075"/>
          <a:ext cx="189293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C:\1. KI&#7874;M SO&#193;T N&#7896;I B&#7896;\KI&#7874;M TRA CH&#7912;NG T&#7914;\T4.2026\NH TR&#194;M-TH&#7842;O\DANH S&#193;CH V&#7888;N T&#7920; C&#211; NG&#192;Y 15-04-2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efreshError="1">
        <row r="72">
          <cell r="C72">
            <v>5745818045.13155</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8"/>
  <sheetViews>
    <sheetView tabSelected="1" topLeftCell="A4" workbookViewId="0">
      <selection activeCell="A1" sqref="A1:J188"/>
    </sheetView>
  </sheetViews>
  <sheetFormatPr defaultColWidth="9.14285714285714" defaultRowHeight="15"/>
  <cols>
    <col min="2" max="2" width="48.4285714285714" customWidth="1"/>
  </cols>
  <sheetData>
    <row r="1" ht="15.75" spans="1:10">
      <c r="A1" s="1" t="s">
        <v>0</v>
      </c>
      <c r="B1" s="1"/>
      <c r="C1" s="2" t="s">
        <v>1</v>
      </c>
      <c r="D1" s="3"/>
      <c r="E1" s="3"/>
      <c r="F1" s="3"/>
      <c r="G1" s="3"/>
      <c r="H1" s="3"/>
      <c r="I1" s="3"/>
      <c r="J1" s="3"/>
    </row>
    <row r="2" ht="15.75" spans="1:10">
      <c r="A2" s="1" t="s">
        <v>2</v>
      </c>
      <c r="B2" s="1"/>
      <c r="C2" s="2" t="s">
        <v>3</v>
      </c>
      <c r="D2" s="2"/>
      <c r="E2" s="2"/>
      <c r="F2" s="2"/>
      <c r="G2" s="2"/>
      <c r="H2" s="2"/>
      <c r="I2" s="2"/>
      <c r="J2" s="2"/>
    </row>
    <row r="3" ht="15.75" spans="1:10">
      <c r="A3" s="1" t="s">
        <v>4</v>
      </c>
      <c r="B3" s="1"/>
      <c r="C3" s="4"/>
      <c r="D3" s="4"/>
      <c r="E3" s="4"/>
      <c r="F3" s="5" t="s">
        <v>5</v>
      </c>
      <c r="G3" s="3"/>
      <c r="H3" s="3"/>
      <c r="I3" s="3"/>
      <c r="J3" s="3"/>
    </row>
    <row r="4" ht="15.75" spans="1:10">
      <c r="A4" s="4"/>
      <c r="B4" s="4"/>
      <c r="C4" s="4"/>
      <c r="D4" s="4"/>
      <c r="E4" s="4"/>
      <c r="F4" s="4"/>
      <c r="G4" s="4"/>
      <c r="H4" s="4"/>
      <c r="I4" s="4"/>
      <c r="J4" s="4"/>
    </row>
    <row r="5" ht="18.75" spans="1:10">
      <c r="A5" s="6" t="s">
        <v>6</v>
      </c>
      <c r="B5" s="3"/>
      <c r="C5" s="3"/>
      <c r="D5" s="3"/>
      <c r="E5" s="3"/>
      <c r="F5" s="3"/>
      <c r="G5" s="3"/>
      <c r="H5" s="3"/>
      <c r="I5" s="3"/>
      <c r="J5" s="3"/>
    </row>
    <row r="6" ht="15.75" spans="1:10">
      <c r="A6" s="4"/>
      <c r="B6" s="4"/>
      <c r="C6" s="4"/>
      <c r="D6" s="4"/>
      <c r="E6" s="4"/>
      <c r="F6" s="4"/>
      <c r="G6" s="4"/>
      <c r="H6" s="4"/>
      <c r="I6" s="4"/>
      <c r="J6" s="4"/>
    </row>
    <row r="7" ht="15.75" spans="1:10">
      <c r="A7" s="7" t="s">
        <v>7</v>
      </c>
      <c r="B7" s="4"/>
      <c r="C7" s="4"/>
      <c r="D7" s="4"/>
      <c r="E7" s="4"/>
      <c r="F7" s="4"/>
      <c r="G7" s="4"/>
      <c r="H7" s="4"/>
      <c r="I7" s="4"/>
      <c r="J7" s="4"/>
    </row>
    <row r="8" ht="15.75" spans="1:10">
      <c r="A8" s="8" t="s">
        <v>8</v>
      </c>
      <c r="B8" s="4"/>
      <c r="C8" s="4"/>
      <c r="D8" s="4"/>
      <c r="E8" s="4"/>
      <c r="F8" s="4"/>
      <c r="G8" s="4"/>
      <c r="H8" s="4"/>
      <c r="I8" s="4"/>
      <c r="J8" s="4"/>
    </row>
    <row r="9" ht="15.75" spans="1:10">
      <c r="A9" s="8" t="s">
        <v>9</v>
      </c>
      <c r="B9" s="4"/>
      <c r="C9" s="4"/>
      <c r="D9" s="4"/>
      <c r="E9" s="4"/>
      <c r="F9" s="4"/>
      <c r="G9" s="4"/>
      <c r="H9" s="4"/>
      <c r="I9" s="4"/>
      <c r="J9" s="4"/>
    </row>
    <row r="10" ht="15.75" spans="1:10">
      <c r="A10" s="8" t="s">
        <v>10</v>
      </c>
      <c r="B10" s="4"/>
      <c r="C10" s="4"/>
      <c r="D10" s="4"/>
      <c r="E10" s="4"/>
      <c r="F10" s="4"/>
      <c r="G10" s="4"/>
      <c r="H10" s="4"/>
      <c r="I10" s="4"/>
      <c r="J10" s="4"/>
    </row>
    <row r="11" ht="15.75" spans="1:10">
      <c r="A11" s="8" t="s">
        <v>11</v>
      </c>
      <c r="B11" s="4"/>
      <c r="C11" s="4"/>
      <c r="D11" s="4"/>
      <c r="E11" s="4"/>
      <c r="F11" s="4"/>
      <c r="G11" s="4"/>
      <c r="H11" s="4"/>
      <c r="I11" s="4"/>
      <c r="J11" s="4"/>
    </row>
    <row r="12" ht="15.75" spans="1:10">
      <c r="A12" s="8" t="s">
        <v>12</v>
      </c>
      <c r="B12" s="4"/>
      <c r="C12" s="4"/>
      <c r="D12" s="4"/>
      <c r="E12" s="4"/>
      <c r="F12" s="4"/>
      <c r="G12" s="4"/>
      <c r="H12" s="4"/>
      <c r="I12" s="4"/>
      <c r="J12" s="4"/>
    </row>
    <row r="13" ht="15.75" spans="1:10">
      <c r="A13" s="9" t="s">
        <v>13</v>
      </c>
      <c r="B13" s="4"/>
      <c r="C13" s="4"/>
      <c r="D13" s="4"/>
      <c r="E13" s="4"/>
      <c r="F13" s="4"/>
      <c r="G13" s="4"/>
      <c r="H13" s="4"/>
      <c r="I13" s="4"/>
      <c r="J13" s="4"/>
    </row>
    <row r="14" ht="15.75" spans="1:10">
      <c r="A14" s="8" t="s">
        <v>14</v>
      </c>
      <c r="B14" s="4"/>
      <c r="C14" s="4"/>
      <c r="D14" s="4"/>
      <c r="E14" s="4"/>
      <c r="F14" s="4"/>
      <c r="G14" s="4"/>
      <c r="H14" s="4"/>
      <c r="I14" s="4"/>
      <c r="J14" s="4"/>
    </row>
    <row r="15" ht="15.75" spans="1:10">
      <c r="A15" s="8" t="s">
        <v>15</v>
      </c>
      <c r="B15" s="4"/>
      <c r="C15" s="4"/>
      <c r="D15" s="4"/>
      <c r="E15" s="4"/>
      <c r="F15" s="4"/>
      <c r="G15" s="4"/>
      <c r="H15" s="4"/>
      <c r="I15" s="4"/>
      <c r="J15" s="4"/>
    </row>
    <row r="16" ht="15.75" spans="1:10">
      <c r="A16" s="8" t="s">
        <v>16</v>
      </c>
      <c r="B16" s="4"/>
      <c r="C16" s="4"/>
      <c r="D16" s="4"/>
      <c r="E16" s="4"/>
      <c r="F16" s="4"/>
      <c r="G16" s="4"/>
      <c r="H16" s="4"/>
      <c r="I16" s="4"/>
      <c r="J16" s="4"/>
    </row>
    <row r="17" ht="15.75" spans="1:10">
      <c r="A17" s="8" t="s">
        <v>17</v>
      </c>
      <c r="B17" s="4"/>
      <c r="C17" s="4"/>
      <c r="D17" s="4"/>
      <c r="E17" s="4"/>
      <c r="F17" s="4"/>
      <c r="G17" s="4"/>
      <c r="H17" s="4"/>
      <c r="I17" s="4"/>
      <c r="J17" s="4"/>
    </row>
    <row r="18" ht="15.75" spans="1:10">
      <c r="A18" s="7" t="s">
        <v>18</v>
      </c>
      <c r="B18" s="8"/>
      <c r="C18" s="4"/>
      <c r="D18" s="4"/>
      <c r="E18" s="4"/>
      <c r="F18" s="4"/>
      <c r="G18" s="4"/>
      <c r="H18" s="4"/>
      <c r="I18" s="4"/>
      <c r="J18" s="4"/>
    </row>
    <row r="19" ht="15.75" spans="1:10">
      <c r="A19" s="10" t="s">
        <v>19</v>
      </c>
      <c r="B19" s="11" t="s">
        <v>20</v>
      </c>
      <c r="C19" s="12"/>
      <c r="D19" s="12"/>
      <c r="E19" s="12"/>
      <c r="F19" s="12"/>
      <c r="G19" s="12"/>
      <c r="H19" s="13"/>
      <c r="I19" s="11" t="s">
        <v>21</v>
      </c>
      <c r="J19" s="13"/>
    </row>
    <row r="20" ht="15.75" spans="1:10">
      <c r="A20" s="14">
        <v>1</v>
      </c>
      <c r="B20" s="15" t="s">
        <v>22</v>
      </c>
      <c r="C20" s="16"/>
      <c r="D20" s="16"/>
      <c r="E20" s="16"/>
      <c r="F20" s="16"/>
      <c r="G20" s="16"/>
      <c r="H20" s="17"/>
      <c r="I20" s="11"/>
      <c r="J20" s="13"/>
    </row>
    <row r="21" ht="15.75" spans="1:10">
      <c r="A21" s="14">
        <v>2</v>
      </c>
      <c r="B21" s="15" t="s">
        <v>23</v>
      </c>
      <c r="C21" s="16"/>
      <c r="D21" s="16"/>
      <c r="E21" s="16"/>
      <c r="F21" s="16"/>
      <c r="G21" s="16"/>
      <c r="H21" s="17"/>
      <c r="I21" s="11"/>
      <c r="J21" s="13"/>
    </row>
    <row r="22" ht="15.75" spans="1:10">
      <c r="A22" s="14">
        <v>3</v>
      </c>
      <c r="B22" s="15" t="s">
        <v>24</v>
      </c>
      <c r="C22" s="16"/>
      <c r="D22" s="16"/>
      <c r="E22" s="16"/>
      <c r="F22" s="16"/>
      <c r="G22" s="16"/>
      <c r="H22" s="17"/>
      <c r="I22" s="11"/>
      <c r="J22" s="13"/>
    </row>
    <row r="23" ht="15.75" spans="1:10">
      <c r="A23" s="14">
        <v>4</v>
      </c>
      <c r="B23" s="15" t="s">
        <v>25</v>
      </c>
      <c r="C23" s="16"/>
      <c r="D23" s="16"/>
      <c r="E23" s="16"/>
      <c r="F23" s="16"/>
      <c r="G23" s="16"/>
      <c r="H23" s="17"/>
      <c r="I23" s="11"/>
      <c r="J23" s="13"/>
    </row>
    <row r="24" ht="15.75" spans="1:10">
      <c r="A24" s="14">
        <v>5</v>
      </c>
      <c r="B24" s="15" t="s">
        <v>26</v>
      </c>
      <c r="C24" s="16"/>
      <c r="D24" s="16"/>
      <c r="E24" s="16"/>
      <c r="F24" s="16"/>
      <c r="G24" s="16"/>
      <c r="H24" s="17"/>
      <c r="I24" s="11"/>
      <c r="J24" s="13"/>
    </row>
    <row r="25" ht="15.75" spans="1:10">
      <c r="A25" s="14">
        <v>6</v>
      </c>
      <c r="B25" s="15" t="s">
        <v>27</v>
      </c>
      <c r="C25" s="16"/>
      <c r="D25" s="16"/>
      <c r="E25" s="16"/>
      <c r="F25" s="16"/>
      <c r="G25" s="16"/>
      <c r="H25" s="17"/>
      <c r="I25" s="11"/>
      <c r="J25" s="13"/>
    </row>
    <row r="26" ht="15.75" spans="1:10">
      <c r="A26" s="14">
        <v>7</v>
      </c>
      <c r="B26" s="15" t="s">
        <v>28</v>
      </c>
      <c r="C26" s="16"/>
      <c r="D26" s="16"/>
      <c r="E26" s="16"/>
      <c r="F26" s="16"/>
      <c r="G26" s="16"/>
      <c r="H26" s="17"/>
      <c r="I26" s="11"/>
      <c r="J26" s="13"/>
    </row>
    <row r="27" ht="15.75" spans="1:10">
      <c r="A27" s="14">
        <v>8</v>
      </c>
      <c r="B27" s="15" t="s">
        <v>29</v>
      </c>
      <c r="C27" s="16"/>
      <c r="D27" s="16"/>
      <c r="E27" s="16"/>
      <c r="F27" s="16"/>
      <c r="G27" s="16"/>
      <c r="H27" s="17"/>
      <c r="I27" s="11"/>
      <c r="J27" s="13"/>
    </row>
    <row r="28" ht="15.75" spans="1:10">
      <c r="A28" s="14">
        <v>9</v>
      </c>
      <c r="B28" s="15" t="s">
        <v>30</v>
      </c>
      <c r="C28" s="16"/>
      <c r="D28" s="16"/>
      <c r="E28" s="16"/>
      <c r="F28" s="16"/>
      <c r="G28" s="16"/>
      <c r="H28" s="17"/>
      <c r="I28" s="11"/>
      <c r="J28" s="13"/>
    </row>
    <row r="29" ht="15.75" spans="1:10">
      <c r="A29" s="14">
        <v>10</v>
      </c>
      <c r="B29" s="15" t="s">
        <v>31</v>
      </c>
      <c r="C29" s="16"/>
      <c r="D29" s="16"/>
      <c r="E29" s="16"/>
      <c r="F29" s="16"/>
      <c r="G29" s="16"/>
      <c r="H29" s="17"/>
      <c r="I29" s="11"/>
      <c r="J29" s="13"/>
    </row>
    <row r="30" ht="15.75" spans="1:10">
      <c r="A30" s="4"/>
      <c r="B30" s="4"/>
      <c r="C30" s="4"/>
      <c r="D30" s="4"/>
      <c r="E30" s="4"/>
      <c r="F30" s="4"/>
      <c r="G30" s="4"/>
      <c r="H30" s="4"/>
      <c r="I30" s="4"/>
      <c r="J30" s="4"/>
    </row>
    <row r="31" ht="15.75" spans="1:10">
      <c r="A31" s="7" t="s">
        <v>32</v>
      </c>
      <c r="B31" s="8"/>
      <c r="C31" s="8"/>
      <c r="D31" s="8"/>
      <c r="E31" s="8"/>
      <c r="F31" s="8"/>
      <c r="G31" s="8"/>
      <c r="H31" s="8"/>
      <c r="I31" s="8"/>
      <c r="J31" s="8"/>
    </row>
    <row r="32" spans="1:10">
      <c r="A32" s="18" t="s">
        <v>19</v>
      </c>
      <c r="B32" s="19" t="s">
        <v>33</v>
      </c>
      <c r="C32" s="19" t="s">
        <v>34</v>
      </c>
      <c r="D32" s="19"/>
      <c r="E32" s="19"/>
      <c r="F32" s="19"/>
      <c r="G32" s="19" t="s">
        <v>35</v>
      </c>
      <c r="H32" s="19"/>
      <c r="I32" s="19" t="s">
        <v>36</v>
      </c>
      <c r="J32" s="19"/>
    </row>
    <row r="33" ht="50" customHeight="1" spans="1:10">
      <c r="A33" s="20">
        <v>1</v>
      </c>
      <c r="B33" s="21" t="s">
        <v>37</v>
      </c>
      <c r="C33" s="21" t="s">
        <v>38</v>
      </c>
      <c r="D33" s="22"/>
      <c r="E33" s="22"/>
      <c r="F33" s="23"/>
      <c r="G33" s="24">
        <v>15980000</v>
      </c>
      <c r="H33" s="25"/>
      <c r="I33" s="26"/>
      <c r="J33" s="26"/>
    </row>
    <row r="34" spans="1:10">
      <c r="A34" s="20">
        <f t="shared" ref="A34:A97" si="0">A33+1</f>
        <v>2</v>
      </c>
      <c r="B34" s="21" t="s">
        <v>39</v>
      </c>
      <c r="C34" s="21" t="s">
        <v>40</v>
      </c>
      <c r="D34" s="22"/>
      <c r="E34" s="22"/>
      <c r="F34" s="23"/>
      <c r="G34" s="24">
        <v>38000000</v>
      </c>
      <c r="H34" s="25"/>
      <c r="I34" s="26"/>
      <c r="J34" s="26"/>
    </row>
    <row r="35" ht="55" customHeight="1" spans="1:10">
      <c r="A35" s="20">
        <f t="shared" si="0"/>
        <v>3</v>
      </c>
      <c r="B35" s="21" t="s">
        <v>41</v>
      </c>
      <c r="C35" s="21" t="s">
        <v>42</v>
      </c>
      <c r="D35" s="22"/>
      <c r="E35" s="22"/>
      <c r="F35" s="23"/>
      <c r="G35" s="24">
        <v>60490800</v>
      </c>
      <c r="H35" s="25"/>
      <c r="I35" s="26"/>
      <c r="J35" s="26"/>
    </row>
    <row r="36" spans="1:10">
      <c r="A36" s="20">
        <f t="shared" si="0"/>
        <v>4</v>
      </c>
      <c r="B36" s="21" t="s">
        <v>43</v>
      </c>
      <c r="C36" s="27" t="s">
        <v>44</v>
      </c>
      <c r="D36" s="28"/>
      <c r="E36" s="28"/>
      <c r="F36" s="29"/>
      <c r="G36" s="24">
        <v>2050000</v>
      </c>
      <c r="H36" s="25"/>
      <c r="I36" s="26"/>
      <c r="J36" s="26"/>
    </row>
    <row r="37" ht="42" customHeight="1" spans="1:10">
      <c r="A37" s="20">
        <f t="shared" si="0"/>
        <v>5</v>
      </c>
      <c r="B37" s="21" t="s">
        <v>45</v>
      </c>
      <c r="C37" s="27" t="s">
        <v>46</v>
      </c>
      <c r="D37" s="28"/>
      <c r="E37" s="28"/>
      <c r="F37" s="29"/>
      <c r="G37" s="24">
        <v>551000000</v>
      </c>
      <c r="H37" s="25"/>
      <c r="I37" s="26"/>
      <c r="J37" s="26"/>
    </row>
    <row r="38" ht="30" spans="1:10">
      <c r="A38" s="20">
        <f t="shared" si="0"/>
        <v>6</v>
      </c>
      <c r="B38" s="21" t="s">
        <v>47</v>
      </c>
      <c r="C38" s="27" t="s">
        <v>46</v>
      </c>
      <c r="D38" s="28"/>
      <c r="E38" s="28"/>
      <c r="F38" s="29"/>
      <c r="G38" s="24">
        <v>141271551</v>
      </c>
      <c r="H38" s="25"/>
      <c r="I38" s="26"/>
      <c r="J38" s="26"/>
    </row>
    <row r="39" ht="30" spans="1:10">
      <c r="A39" s="20">
        <f t="shared" si="0"/>
        <v>7</v>
      </c>
      <c r="B39" s="21" t="s">
        <v>48</v>
      </c>
      <c r="C39" s="27" t="s">
        <v>46</v>
      </c>
      <c r="D39" s="28"/>
      <c r="E39" s="28"/>
      <c r="F39" s="29"/>
      <c r="G39" s="24">
        <v>76692790</v>
      </c>
      <c r="H39" s="25"/>
      <c r="I39" s="26"/>
      <c r="J39" s="26"/>
    </row>
    <row r="40" ht="105" spans="1:10">
      <c r="A40" s="20">
        <f t="shared" si="0"/>
        <v>8</v>
      </c>
      <c r="B40" s="21" t="s">
        <v>49</v>
      </c>
      <c r="C40" s="27" t="s">
        <v>46</v>
      </c>
      <c r="D40" s="28"/>
      <c r="E40" s="28"/>
      <c r="F40" s="29"/>
      <c r="G40" s="24">
        <v>26511840</v>
      </c>
      <c r="H40" s="25"/>
      <c r="I40" s="26"/>
      <c r="J40" s="26"/>
    </row>
    <row r="41" spans="1:10">
      <c r="A41" s="20">
        <f t="shared" si="0"/>
        <v>9</v>
      </c>
      <c r="B41" s="21" t="s">
        <v>50</v>
      </c>
      <c r="C41" s="27" t="s">
        <v>46</v>
      </c>
      <c r="D41" s="28"/>
      <c r="E41" s="28"/>
      <c r="F41" s="29"/>
      <c r="G41" s="24">
        <v>13167000</v>
      </c>
      <c r="H41" s="25"/>
      <c r="I41" s="26"/>
      <c r="J41" s="26"/>
    </row>
    <row r="42" ht="75" spans="1:10">
      <c r="A42" s="20">
        <f t="shared" si="0"/>
        <v>10</v>
      </c>
      <c r="B42" s="21" t="s">
        <v>51</v>
      </c>
      <c r="C42" s="27" t="s">
        <v>52</v>
      </c>
      <c r="D42" s="28"/>
      <c r="E42" s="28"/>
      <c r="F42" s="29"/>
      <c r="G42" s="24">
        <v>107604000</v>
      </c>
      <c r="H42" s="25"/>
      <c r="I42" s="26"/>
      <c r="J42" s="26"/>
    </row>
    <row r="43" ht="135" spans="1:10">
      <c r="A43" s="20">
        <f t="shared" si="0"/>
        <v>11</v>
      </c>
      <c r="B43" s="21" t="s">
        <v>53</v>
      </c>
      <c r="C43" s="27" t="s">
        <v>52</v>
      </c>
      <c r="D43" s="28"/>
      <c r="E43" s="28"/>
      <c r="F43" s="29"/>
      <c r="G43" s="24">
        <v>48600000</v>
      </c>
      <c r="H43" s="25"/>
      <c r="I43" s="26"/>
      <c r="J43" s="26"/>
    </row>
    <row r="44" ht="150" spans="1:10">
      <c r="A44" s="20">
        <f t="shared" si="0"/>
        <v>12</v>
      </c>
      <c r="B44" s="21" t="s">
        <v>54</v>
      </c>
      <c r="C44" s="27" t="s">
        <v>46</v>
      </c>
      <c r="D44" s="28"/>
      <c r="E44" s="28"/>
      <c r="F44" s="29"/>
      <c r="G44" s="24">
        <v>179578397.998</v>
      </c>
      <c r="H44" s="25"/>
      <c r="I44" s="26"/>
      <c r="J44" s="26"/>
    </row>
    <row r="45" ht="60" spans="1:10">
      <c r="A45" s="20">
        <f t="shared" si="0"/>
        <v>13</v>
      </c>
      <c r="B45" s="21" t="s">
        <v>55</v>
      </c>
      <c r="C45" s="27" t="s">
        <v>52</v>
      </c>
      <c r="D45" s="28"/>
      <c r="E45" s="28"/>
      <c r="F45" s="29"/>
      <c r="G45" s="24">
        <v>248345000</v>
      </c>
      <c r="H45" s="25"/>
      <c r="I45" s="26"/>
      <c r="J45" s="26"/>
    </row>
    <row r="46" ht="90" spans="1:10">
      <c r="A46" s="20">
        <f t="shared" si="0"/>
        <v>14</v>
      </c>
      <c r="B46" s="21" t="s">
        <v>56</v>
      </c>
      <c r="C46" s="27" t="s">
        <v>46</v>
      </c>
      <c r="D46" s="28"/>
      <c r="E46" s="28"/>
      <c r="F46" s="29"/>
      <c r="G46" s="24">
        <v>30412377.0209999</v>
      </c>
      <c r="H46" s="25"/>
      <c r="I46" s="26"/>
      <c r="J46" s="26"/>
    </row>
    <row r="47" spans="1:10">
      <c r="A47" s="20">
        <f t="shared" si="0"/>
        <v>15</v>
      </c>
      <c r="B47" s="21" t="s">
        <v>57</v>
      </c>
      <c r="C47" s="27" t="s">
        <v>46</v>
      </c>
      <c r="D47" s="28"/>
      <c r="E47" s="28"/>
      <c r="F47" s="29"/>
      <c r="G47" s="24">
        <v>4560000</v>
      </c>
      <c r="H47" s="25"/>
      <c r="I47" s="26"/>
      <c r="J47" s="26"/>
    </row>
    <row r="48" ht="120" spans="1:10">
      <c r="A48" s="20">
        <f t="shared" si="0"/>
        <v>16</v>
      </c>
      <c r="B48" s="21" t="s">
        <v>58</v>
      </c>
      <c r="C48" s="27" t="s">
        <v>46</v>
      </c>
      <c r="D48" s="28"/>
      <c r="E48" s="28"/>
      <c r="F48" s="29"/>
      <c r="G48" s="24">
        <v>1865455.11734998</v>
      </c>
      <c r="H48" s="25"/>
      <c r="I48" s="26"/>
      <c r="J48" s="26"/>
    </row>
    <row r="49" ht="105" spans="1:10">
      <c r="A49" s="20">
        <f t="shared" si="0"/>
        <v>17</v>
      </c>
      <c r="B49" s="21" t="s">
        <v>59</v>
      </c>
      <c r="C49" s="27" t="s">
        <v>60</v>
      </c>
      <c r="D49" s="28"/>
      <c r="E49" s="28"/>
      <c r="F49" s="29"/>
      <c r="G49" s="24">
        <v>1021432282</v>
      </c>
      <c r="H49" s="25"/>
      <c r="I49" s="26"/>
      <c r="J49" s="26"/>
    </row>
    <row r="50" ht="75" spans="1:10">
      <c r="A50" s="20">
        <f t="shared" si="0"/>
        <v>18</v>
      </c>
      <c r="B50" s="21" t="s">
        <v>61</v>
      </c>
      <c r="C50" s="27" t="s">
        <v>46</v>
      </c>
      <c r="D50" s="28"/>
      <c r="E50" s="28"/>
      <c r="F50" s="29"/>
      <c r="G50" s="24">
        <v>28570609</v>
      </c>
      <c r="H50" s="25"/>
      <c r="I50" s="26"/>
      <c r="J50" s="26"/>
    </row>
    <row r="51" spans="1:10">
      <c r="A51" s="20">
        <f t="shared" si="0"/>
        <v>19</v>
      </c>
      <c r="B51" s="21" t="s">
        <v>62</v>
      </c>
      <c r="C51" s="27" t="s">
        <v>63</v>
      </c>
      <c r="D51" s="28"/>
      <c r="E51" s="28"/>
      <c r="F51" s="29"/>
      <c r="G51" s="24">
        <v>10190000</v>
      </c>
      <c r="H51" s="25"/>
      <c r="I51" s="26"/>
      <c r="J51" s="26"/>
    </row>
    <row r="52" ht="105" spans="1:10">
      <c r="A52" s="20">
        <f t="shared" si="0"/>
        <v>20</v>
      </c>
      <c r="B52" s="21" t="s">
        <v>64</v>
      </c>
      <c r="C52" s="27" t="s">
        <v>65</v>
      </c>
      <c r="D52" s="28"/>
      <c r="E52" s="28"/>
      <c r="F52" s="29"/>
      <c r="G52" s="24">
        <v>1009660481</v>
      </c>
      <c r="H52" s="25"/>
      <c r="I52" s="26"/>
      <c r="J52" s="26"/>
    </row>
    <row r="53" ht="105" spans="1:10">
      <c r="A53" s="20">
        <f t="shared" si="0"/>
        <v>21</v>
      </c>
      <c r="B53" s="21" t="s">
        <v>64</v>
      </c>
      <c r="C53" s="27" t="s">
        <v>46</v>
      </c>
      <c r="D53" s="28"/>
      <c r="E53" s="28"/>
      <c r="F53" s="29"/>
      <c r="G53" s="24">
        <v>34106184</v>
      </c>
      <c r="H53" s="25"/>
      <c r="I53" s="26"/>
      <c r="J53" s="26"/>
    </row>
    <row r="54" ht="45" spans="1:10">
      <c r="A54" s="20">
        <f t="shared" si="0"/>
        <v>22</v>
      </c>
      <c r="B54" s="21" t="s">
        <v>66</v>
      </c>
      <c r="C54" s="27" t="s">
        <v>46</v>
      </c>
      <c r="D54" s="28"/>
      <c r="E54" s="28"/>
      <c r="F54" s="29"/>
      <c r="G54" s="24">
        <v>8579999.99520001</v>
      </c>
      <c r="H54" s="25"/>
      <c r="I54" s="26"/>
      <c r="J54" s="26"/>
    </row>
    <row r="55" ht="75" spans="1:10">
      <c r="A55" s="20">
        <f t="shared" si="0"/>
        <v>23</v>
      </c>
      <c r="B55" s="21" t="s">
        <v>67</v>
      </c>
      <c r="C55" s="27" t="s">
        <v>46</v>
      </c>
      <c r="D55" s="28"/>
      <c r="E55" s="28"/>
      <c r="F55" s="29"/>
      <c r="G55" s="24">
        <v>82327500</v>
      </c>
      <c r="H55" s="25"/>
      <c r="I55" s="26"/>
      <c r="J55" s="26"/>
    </row>
    <row r="56" ht="90" spans="1:10">
      <c r="A56" s="20">
        <f t="shared" si="0"/>
        <v>24</v>
      </c>
      <c r="B56" s="21" t="s">
        <v>68</v>
      </c>
      <c r="C56" s="27" t="s">
        <v>46</v>
      </c>
      <c r="D56" s="28"/>
      <c r="E56" s="28"/>
      <c r="F56" s="29"/>
      <c r="G56" s="24">
        <v>3977400</v>
      </c>
      <c r="H56" s="25"/>
      <c r="I56" s="26"/>
      <c r="J56" s="26"/>
    </row>
    <row r="57" ht="105" spans="1:10">
      <c r="A57" s="20">
        <f t="shared" si="0"/>
        <v>25</v>
      </c>
      <c r="B57" s="21" t="s">
        <v>69</v>
      </c>
      <c r="C57" s="27" t="s">
        <v>46</v>
      </c>
      <c r="D57" s="28"/>
      <c r="E57" s="28"/>
      <c r="F57" s="29"/>
      <c r="G57" s="24">
        <v>33600000</v>
      </c>
      <c r="H57" s="25"/>
      <c r="I57" s="26"/>
      <c r="J57" s="26"/>
    </row>
    <row r="58" ht="105" spans="1:10">
      <c r="A58" s="20">
        <f t="shared" si="0"/>
        <v>26</v>
      </c>
      <c r="B58" s="21" t="s">
        <v>70</v>
      </c>
      <c r="C58" s="27" t="s">
        <v>46</v>
      </c>
      <c r="D58" s="28"/>
      <c r="E58" s="28"/>
      <c r="F58" s="29"/>
      <c r="G58" s="24">
        <v>154495700</v>
      </c>
      <c r="H58" s="25"/>
      <c r="I58" s="26"/>
      <c r="J58" s="26"/>
    </row>
    <row r="59" ht="105" spans="1:10">
      <c r="A59" s="20">
        <f t="shared" si="0"/>
        <v>27</v>
      </c>
      <c r="B59" s="21" t="s">
        <v>71</v>
      </c>
      <c r="C59" s="27" t="s">
        <v>46</v>
      </c>
      <c r="D59" s="28"/>
      <c r="E59" s="28"/>
      <c r="F59" s="29"/>
      <c r="G59" s="24">
        <v>15000000</v>
      </c>
      <c r="H59" s="25"/>
      <c r="I59" s="26"/>
      <c r="J59" s="26"/>
    </row>
    <row r="60" ht="195" spans="1:10">
      <c r="A60" s="20">
        <f t="shared" si="0"/>
        <v>28</v>
      </c>
      <c r="B60" s="21" t="s">
        <v>72</v>
      </c>
      <c r="C60" s="27" t="s">
        <v>46</v>
      </c>
      <c r="D60" s="28"/>
      <c r="E60" s="28"/>
      <c r="F60" s="29"/>
      <c r="G60" s="24">
        <v>12900000</v>
      </c>
      <c r="H60" s="25"/>
      <c r="I60" s="26"/>
      <c r="J60" s="26"/>
    </row>
    <row r="61" ht="180" spans="1:10">
      <c r="A61" s="20">
        <f t="shared" si="0"/>
        <v>29</v>
      </c>
      <c r="B61" s="21" t="s">
        <v>73</v>
      </c>
      <c r="C61" s="27" t="s">
        <v>46</v>
      </c>
      <c r="D61" s="28"/>
      <c r="E61" s="28"/>
      <c r="F61" s="29"/>
      <c r="G61" s="24">
        <v>11880000</v>
      </c>
      <c r="H61" s="25"/>
      <c r="I61" s="26"/>
      <c r="J61" s="26"/>
    </row>
    <row r="62" ht="90" spans="1:10">
      <c r="A62" s="20">
        <f t="shared" si="0"/>
        <v>30</v>
      </c>
      <c r="B62" s="21" t="s">
        <v>74</v>
      </c>
      <c r="C62" s="27" t="s">
        <v>46</v>
      </c>
      <c r="D62" s="28"/>
      <c r="E62" s="28"/>
      <c r="F62" s="29"/>
      <c r="G62" s="24">
        <v>32400000</v>
      </c>
      <c r="H62" s="25"/>
      <c r="I62" s="26"/>
      <c r="J62" s="26"/>
    </row>
    <row r="63" ht="105" spans="1:10">
      <c r="A63" s="20">
        <f t="shared" si="0"/>
        <v>31</v>
      </c>
      <c r="B63" s="21" t="s">
        <v>75</v>
      </c>
      <c r="C63" s="27" t="s">
        <v>52</v>
      </c>
      <c r="D63" s="28"/>
      <c r="E63" s="28"/>
      <c r="F63" s="29"/>
      <c r="G63" s="24">
        <v>31360500</v>
      </c>
      <c r="H63" s="25"/>
      <c r="I63" s="26"/>
      <c r="J63" s="26"/>
    </row>
    <row r="64" ht="120" spans="1:10">
      <c r="A64" s="20">
        <f t="shared" si="0"/>
        <v>32</v>
      </c>
      <c r="B64" s="21" t="s">
        <v>76</v>
      </c>
      <c r="C64" s="27" t="s">
        <v>46</v>
      </c>
      <c r="D64" s="28"/>
      <c r="E64" s="28"/>
      <c r="F64" s="29"/>
      <c r="G64" s="24">
        <v>23278000</v>
      </c>
      <c r="H64" s="25"/>
      <c r="I64" s="26"/>
      <c r="J64" s="26"/>
    </row>
    <row r="65" ht="105" spans="1:10">
      <c r="A65" s="20">
        <f t="shared" si="0"/>
        <v>33</v>
      </c>
      <c r="B65" s="21" t="s">
        <v>77</v>
      </c>
      <c r="C65" s="27" t="s">
        <v>52</v>
      </c>
      <c r="D65" s="28"/>
      <c r="E65" s="28"/>
      <c r="F65" s="29"/>
      <c r="G65" s="24">
        <v>494115700</v>
      </c>
      <c r="H65" s="25"/>
      <c r="I65" s="26"/>
      <c r="J65" s="26"/>
    </row>
    <row r="66" ht="105" spans="1:10">
      <c r="A66" s="20">
        <f t="shared" si="0"/>
        <v>34</v>
      </c>
      <c r="B66" s="21" t="s">
        <v>78</v>
      </c>
      <c r="C66" s="27" t="s">
        <v>52</v>
      </c>
      <c r="D66" s="28"/>
      <c r="E66" s="28"/>
      <c r="F66" s="29"/>
      <c r="G66" s="24">
        <v>7125000</v>
      </c>
      <c r="H66" s="25"/>
      <c r="I66" s="26"/>
      <c r="J66" s="26"/>
    </row>
    <row r="67" ht="90" spans="1:10">
      <c r="A67" s="20">
        <f t="shared" si="0"/>
        <v>35</v>
      </c>
      <c r="B67" s="21" t="s">
        <v>79</v>
      </c>
      <c r="C67" s="27" t="s">
        <v>46</v>
      </c>
      <c r="D67" s="28"/>
      <c r="E67" s="28"/>
      <c r="F67" s="29"/>
      <c r="G67" s="24">
        <v>11670750</v>
      </c>
      <c r="H67" s="25"/>
      <c r="I67" s="26"/>
      <c r="J67" s="26"/>
    </row>
    <row r="68" ht="105" spans="1:10">
      <c r="A68" s="20">
        <f t="shared" si="0"/>
        <v>36</v>
      </c>
      <c r="B68" s="21" t="s">
        <v>80</v>
      </c>
      <c r="C68" s="27" t="s">
        <v>46</v>
      </c>
      <c r="D68" s="28"/>
      <c r="E68" s="28"/>
      <c r="F68" s="29"/>
      <c r="G68" s="24">
        <v>44452200</v>
      </c>
      <c r="H68" s="25"/>
      <c r="I68" s="26"/>
      <c r="J68" s="26"/>
    </row>
    <row r="69" ht="105" spans="1:10">
      <c r="A69" s="20">
        <f t="shared" si="0"/>
        <v>37</v>
      </c>
      <c r="B69" s="21" t="s">
        <v>81</v>
      </c>
      <c r="C69" s="27" t="s">
        <v>82</v>
      </c>
      <c r="D69" s="28"/>
      <c r="E69" s="28"/>
      <c r="F69" s="29"/>
      <c r="G69" s="24">
        <v>274350000</v>
      </c>
      <c r="H69" s="25"/>
      <c r="I69" s="26"/>
      <c r="J69" s="26"/>
    </row>
    <row r="70" ht="120" spans="1:10">
      <c r="A70" s="20">
        <f t="shared" si="0"/>
        <v>38</v>
      </c>
      <c r="B70" s="21" t="s">
        <v>83</v>
      </c>
      <c r="C70" s="27" t="s">
        <v>84</v>
      </c>
      <c r="D70" s="28"/>
      <c r="E70" s="28"/>
      <c r="F70" s="29"/>
      <c r="G70" s="24">
        <v>9288785</v>
      </c>
      <c r="H70" s="25"/>
      <c r="I70" s="26"/>
      <c r="J70" s="26"/>
    </row>
    <row r="71" spans="1:10">
      <c r="A71" s="20">
        <f t="shared" si="0"/>
        <v>39</v>
      </c>
      <c r="B71" s="21" t="s">
        <v>85</v>
      </c>
      <c r="C71" s="27" t="s">
        <v>84</v>
      </c>
      <c r="D71" s="28"/>
      <c r="E71" s="28"/>
      <c r="F71" s="29"/>
      <c r="G71" s="24">
        <v>12675000</v>
      </c>
      <c r="H71" s="25"/>
      <c r="I71" s="26"/>
      <c r="J71" s="26"/>
    </row>
    <row r="72" ht="90" spans="1:10">
      <c r="A72" s="20">
        <f t="shared" si="0"/>
        <v>40</v>
      </c>
      <c r="B72" s="21" t="s">
        <v>86</v>
      </c>
      <c r="C72" s="27" t="s">
        <v>84</v>
      </c>
      <c r="D72" s="28"/>
      <c r="E72" s="28"/>
      <c r="F72" s="29"/>
      <c r="G72" s="24">
        <v>21772365</v>
      </c>
      <c r="H72" s="25"/>
      <c r="I72" s="26"/>
      <c r="J72" s="26"/>
    </row>
    <row r="73" ht="30" spans="1:10">
      <c r="A73" s="20">
        <f t="shared" si="0"/>
        <v>41</v>
      </c>
      <c r="B73" s="21" t="s">
        <v>87</v>
      </c>
      <c r="C73" s="27" t="s">
        <v>88</v>
      </c>
      <c r="D73" s="28"/>
      <c r="E73" s="28"/>
      <c r="F73" s="29"/>
      <c r="G73" s="24">
        <v>72328750</v>
      </c>
      <c r="H73" s="25"/>
      <c r="I73" s="26"/>
      <c r="J73" s="26"/>
    </row>
    <row r="74" ht="30" spans="1:10">
      <c r="A74" s="20">
        <f t="shared" si="0"/>
        <v>42</v>
      </c>
      <c r="B74" s="21" t="s">
        <v>89</v>
      </c>
      <c r="C74" s="27" t="s">
        <v>90</v>
      </c>
      <c r="D74" s="28"/>
      <c r="E74" s="28"/>
      <c r="F74" s="29"/>
      <c r="G74" s="24">
        <v>47084910</v>
      </c>
      <c r="H74" s="25"/>
      <c r="I74" s="26"/>
      <c r="J74" s="26"/>
    </row>
    <row r="75" ht="30" spans="1:10">
      <c r="A75" s="20">
        <f t="shared" si="0"/>
        <v>43</v>
      </c>
      <c r="B75" s="21" t="s">
        <v>91</v>
      </c>
      <c r="C75" s="27" t="s">
        <v>92</v>
      </c>
      <c r="D75" s="28"/>
      <c r="E75" s="28"/>
      <c r="F75" s="29"/>
      <c r="G75" s="24">
        <v>20009420</v>
      </c>
      <c r="H75" s="25"/>
      <c r="I75" s="26"/>
      <c r="J75" s="26"/>
    </row>
    <row r="76" ht="30" spans="1:10">
      <c r="A76" s="20">
        <f t="shared" si="0"/>
        <v>44</v>
      </c>
      <c r="B76" s="21" t="s">
        <v>93</v>
      </c>
      <c r="C76" s="27" t="s">
        <v>92</v>
      </c>
      <c r="D76" s="28"/>
      <c r="E76" s="28"/>
      <c r="F76" s="29"/>
      <c r="G76" s="24">
        <v>5960000</v>
      </c>
      <c r="H76" s="25"/>
      <c r="I76" s="26"/>
      <c r="J76" s="26"/>
    </row>
    <row r="77" spans="1:10">
      <c r="A77" s="20">
        <f t="shared" si="0"/>
        <v>45</v>
      </c>
      <c r="B77" s="21" t="s">
        <v>94</v>
      </c>
      <c r="C77" s="27" t="s">
        <v>92</v>
      </c>
      <c r="D77" s="28"/>
      <c r="E77" s="28"/>
      <c r="F77" s="29"/>
      <c r="G77" s="24">
        <v>20875000</v>
      </c>
      <c r="H77" s="25"/>
      <c r="I77" s="26"/>
      <c r="J77" s="26"/>
    </row>
    <row r="78" ht="45" spans="1:10">
      <c r="A78" s="20">
        <f t="shared" si="0"/>
        <v>46</v>
      </c>
      <c r="B78" s="21" t="s">
        <v>95</v>
      </c>
      <c r="C78" s="27" t="s">
        <v>92</v>
      </c>
      <c r="D78" s="28"/>
      <c r="E78" s="28"/>
      <c r="F78" s="29"/>
      <c r="G78" s="24">
        <v>6639055</v>
      </c>
      <c r="H78" s="25"/>
      <c r="I78" s="26"/>
      <c r="J78" s="26"/>
    </row>
    <row r="79" ht="60" spans="1:10">
      <c r="A79" s="20">
        <f t="shared" si="0"/>
        <v>47</v>
      </c>
      <c r="B79" s="21" t="s">
        <v>96</v>
      </c>
      <c r="C79" s="27" t="s">
        <v>92</v>
      </c>
      <c r="D79" s="28"/>
      <c r="E79" s="28"/>
      <c r="F79" s="29"/>
      <c r="G79" s="24">
        <v>71994113</v>
      </c>
      <c r="H79" s="25"/>
      <c r="I79" s="26"/>
      <c r="J79" s="26"/>
    </row>
    <row r="80" ht="45" spans="1:10">
      <c r="A80" s="20">
        <f t="shared" si="0"/>
        <v>48</v>
      </c>
      <c r="B80" s="21" t="s">
        <v>97</v>
      </c>
      <c r="C80" s="27" t="s">
        <v>92</v>
      </c>
      <c r="D80" s="28"/>
      <c r="E80" s="28"/>
      <c r="F80" s="29"/>
      <c r="G80" s="24">
        <v>10230000</v>
      </c>
      <c r="H80" s="25"/>
      <c r="I80" s="26"/>
      <c r="J80" s="26"/>
    </row>
    <row r="81" spans="1:10">
      <c r="A81" s="20">
        <f t="shared" si="0"/>
        <v>49</v>
      </c>
      <c r="B81" s="21" t="s">
        <v>98</v>
      </c>
      <c r="C81" s="27" t="s">
        <v>92</v>
      </c>
      <c r="D81" s="28"/>
      <c r="E81" s="28"/>
      <c r="F81" s="29"/>
      <c r="G81" s="24">
        <v>4500000</v>
      </c>
      <c r="H81" s="25"/>
      <c r="I81" s="26"/>
      <c r="J81" s="26"/>
    </row>
    <row r="82" spans="1:10">
      <c r="A82" s="20">
        <f t="shared" si="0"/>
        <v>50</v>
      </c>
      <c r="B82" s="21" t="s">
        <v>99</v>
      </c>
      <c r="C82" s="27" t="s">
        <v>92</v>
      </c>
      <c r="D82" s="28"/>
      <c r="E82" s="28"/>
      <c r="F82" s="29"/>
      <c r="G82" s="24">
        <v>27018101</v>
      </c>
      <c r="H82" s="25"/>
      <c r="I82" s="26"/>
      <c r="J82" s="26"/>
    </row>
    <row r="83" ht="30" spans="1:10">
      <c r="A83" s="20">
        <f t="shared" si="0"/>
        <v>51</v>
      </c>
      <c r="B83" s="21" t="s">
        <v>100</v>
      </c>
      <c r="C83" s="27" t="s">
        <v>92</v>
      </c>
      <c r="D83" s="28"/>
      <c r="E83" s="28"/>
      <c r="F83" s="29"/>
      <c r="G83" s="24">
        <v>14000000</v>
      </c>
      <c r="H83" s="25"/>
      <c r="I83" s="26"/>
      <c r="J83" s="26"/>
    </row>
    <row r="84" spans="1:10">
      <c r="A84" s="20">
        <f t="shared" si="0"/>
        <v>52</v>
      </c>
      <c r="B84" s="21" t="s">
        <v>101</v>
      </c>
      <c r="C84" s="27" t="s">
        <v>92</v>
      </c>
      <c r="D84" s="28"/>
      <c r="E84" s="28"/>
      <c r="F84" s="29"/>
      <c r="G84" s="24">
        <v>72570880</v>
      </c>
      <c r="H84" s="25"/>
      <c r="I84" s="26"/>
      <c r="J84" s="26"/>
    </row>
    <row r="85" spans="1:10">
      <c r="A85" s="20">
        <f t="shared" si="0"/>
        <v>53</v>
      </c>
      <c r="B85" s="21" t="s">
        <v>102</v>
      </c>
      <c r="C85" s="27" t="s">
        <v>92</v>
      </c>
      <c r="D85" s="28"/>
      <c r="E85" s="28"/>
      <c r="F85" s="29"/>
      <c r="G85" s="24">
        <v>5940000</v>
      </c>
      <c r="H85" s="25"/>
      <c r="I85" s="26"/>
      <c r="J85" s="26"/>
    </row>
    <row r="86" spans="1:10">
      <c r="A86" s="20">
        <f t="shared" si="0"/>
        <v>54</v>
      </c>
      <c r="B86" s="21" t="s">
        <v>62</v>
      </c>
      <c r="C86" s="27" t="s">
        <v>92</v>
      </c>
      <c r="D86" s="28"/>
      <c r="E86" s="28"/>
      <c r="F86" s="29"/>
      <c r="G86" s="24">
        <v>7500000</v>
      </c>
      <c r="H86" s="25"/>
      <c r="I86" s="26"/>
      <c r="J86" s="26"/>
    </row>
    <row r="87" ht="30" spans="1:10">
      <c r="A87" s="20">
        <f t="shared" si="0"/>
        <v>55</v>
      </c>
      <c r="B87" s="21" t="s">
        <v>103</v>
      </c>
      <c r="C87" s="27" t="s">
        <v>92</v>
      </c>
      <c r="D87" s="28"/>
      <c r="E87" s="28"/>
      <c r="F87" s="29"/>
      <c r="G87" s="24">
        <v>1566360</v>
      </c>
      <c r="H87" s="25"/>
      <c r="I87" s="26"/>
      <c r="J87" s="26"/>
    </row>
    <row r="88" spans="1:10">
      <c r="A88" s="20">
        <f t="shared" si="0"/>
        <v>56</v>
      </c>
      <c r="B88" s="21" t="s">
        <v>104</v>
      </c>
      <c r="C88" s="27" t="s">
        <v>92</v>
      </c>
      <c r="D88" s="28"/>
      <c r="E88" s="28"/>
      <c r="F88" s="29"/>
      <c r="G88" s="24">
        <v>8049998</v>
      </c>
      <c r="H88" s="25"/>
      <c r="I88" s="26"/>
      <c r="J88" s="26"/>
    </row>
    <row r="89" ht="30" spans="1:10">
      <c r="A89" s="20">
        <f t="shared" si="0"/>
        <v>57</v>
      </c>
      <c r="B89" s="21" t="s">
        <v>105</v>
      </c>
      <c r="C89" s="27" t="s">
        <v>92</v>
      </c>
      <c r="D89" s="28"/>
      <c r="E89" s="28"/>
      <c r="F89" s="29"/>
      <c r="G89" s="24">
        <v>10935944</v>
      </c>
      <c r="H89" s="25"/>
      <c r="I89" s="26"/>
      <c r="J89" s="26"/>
    </row>
    <row r="90" spans="1:10">
      <c r="A90" s="20">
        <f t="shared" si="0"/>
        <v>58</v>
      </c>
      <c r="B90" s="27" t="s">
        <v>106</v>
      </c>
      <c r="C90" s="27" t="s">
        <v>92</v>
      </c>
      <c r="D90" s="28"/>
      <c r="E90" s="28"/>
      <c r="F90" s="29"/>
      <c r="G90" s="24">
        <v>7128000</v>
      </c>
      <c r="H90" s="25"/>
      <c r="I90" s="26"/>
      <c r="J90" s="26"/>
    </row>
    <row r="91" spans="1:10">
      <c r="A91" s="20">
        <f t="shared" si="0"/>
        <v>59</v>
      </c>
      <c r="B91" s="27" t="s">
        <v>107</v>
      </c>
      <c r="C91" s="27" t="s">
        <v>92</v>
      </c>
      <c r="D91" s="28"/>
      <c r="E91" s="28"/>
      <c r="F91" s="29"/>
      <c r="G91" s="24">
        <v>49865123</v>
      </c>
      <c r="H91" s="25"/>
      <c r="I91" s="26"/>
      <c r="J91" s="26"/>
    </row>
    <row r="92" spans="1:10">
      <c r="A92" s="20">
        <f t="shared" si="0"/>
        <v>60</v>
      </c>
      <c r="B92" s="27" t="s">
        <v>108</v>
      </c>
      <c r="C92" s="27" t="s">
        <v>92</v>
      </c>
      <c r="D92" s="28"/>
      <c r="E92" s="28"/>
      <c r="F92" s="29"/>
      <c r="G92" s="24">
        <v>9462960</v>
      </c>
      <c r="H92" s="25"/>
      <c r="I92" s="26"/>
      <c r="J92" s="26"/>
    </row>
    <row r="93" spans="1:10">
      <c r="A93" s="20">
        <f t="shared" si="0"/>
        <v>61</v>
      </c>
      <c r="B93" s="27" t="s">
        <v>109</v>
      </c>
      <c r="C93" s="27" t="s">
        <v>92</v>
      </c>
      <c r="D93" s="28"/>
      <c r="E93" s="28"/>
      <c r="F93" s="29"/>
      <c r="G93" s="24">
        <v>12250000</v>
      </c>
      <c r="H93" s="25"/>
      <c r="I93" s="26"/>
      <c r="J93" s="26"/>
    </row>
    <row r="94" spans="1:10">
      <c r="A94" s="20">
        <f t="shared" si="0"/>
        <v>62</v>
      </c>
      <c r="B94" s="27" t="s">
        <v>110</v>
      </c>
      <c r="C94" s="27" t="s">
        <v>92</v>
      </c>
      <c r="D94" s="28"/>
      <c r="E94" s="28"/>
      <c r="F94" s="29"/>
      <c r="G94" s="24">
        <v>3480000</v>
      </c>
      <c r="H94" s="25"/>
      <c r="I94" s="26"/>
      <c r="J94" s="26"/>
    </row>
    <row r="95" spans="1:10">
      <c r="A95" s="20">
        <f t="shared" si="0"/>
        <v>63</v>
      </c>
      <c r="B95" s="27" t="s">
        <v>111</v>
      </c>
      <c r="C95" s="27" t="s">
        <v>92</v>
      </c>
      <c r="D95" s="28"/>
      <c r="E95" s="28"/>
      <c r="F95" s="29"/>
      <c r="G95" s="24">
        <v>6300000</v>
      </c>
      <c r="H95" s="25"/>
      <c r="I95" s="26"/>
      <c r="J95" s="26"/>
    </row>
    <row r="96" spans="1:10">
      <c r="A96" s="20">
        <f t="shared" si="0"/>
        <v>64</v>
      </c>
      <c r="B96" s="27" t="s">
        <v>112</v>
      </c>
      <c r="C96" s="27" t="s">
        <v>113</v>
      </c>
      <c r="D96" s="28"/>
      <c r="E96" s="28"/>
      <c r="F96" s="29"/>
      <c r="G96" s="24">
        <v>816480</v>
      </c>
      <c r="H96" s="25"/>
      <c r="I96" s="26"/>
      <c r="J96" s="26"/>
    </row>
    <row r="97" spans="1:10">
      <c r="A97" s="20">
        <f t="shared" si="0"/>
        <v>65</v>
      </c>
      <c r="B97" s="27" t="s">
        <v>114</v>
      </c>
      <c r="C97" s="27" t="s">
        <v>113</v>
      </c>
      <c r="D97" s="28"/>
      <c r="E97" s="28"/>
      <c r="F97" s="29"/>
      <c r="G97" s="24">
        <v>8456400</v>
      </c>
      <c r="H97" s="25"/>
      <c r="I97" s="26"/>
      <c r="J97" s="26"/>
    </row>
    <row r="98" spans="1:10">
      <c r="A98" s="20">
        <f t="shared" ref="A98:A150" si="1">A97+1</f>
        <v>66</v>
      </c>
      <c r="B98" s="27" t="s">
        <v>115</v>
      </c>
      <c r="C98" s="27" t="s">
        <v>113</v>
      </c>
      <c r="D98" s="28"/>
      <c r="E98" s="28"/>
      <c r="F98" s="29"/>
      <c r="G98" s="24">
        <v>1230000</v>
      </c>
      <c r="H98" s="25"/>
      <c r="I98" s="26"/>
      <c r="J98" s="26"/>
    </row>
    <row r="99" spans="1:10">
      <c r="A99" s="20">
        <f t="shared" si="1"/>
        <v>67</v>
      </c>
      <c r="B99" s="27" t="s">
        <v>116</v>
      </c>
      <c r="C99" s="27" t="s">
        <v>117</v>
      </c>
      <c r="D99" s="28"/>
      <c r="E99" s="28"/>
      <c r="F99" s="29"/>
      <c r="G99" s="24">
        <v>17910000</v>
      </c>
      <c r="H99" s="25"/>
      <c r="I99" s="26"/>
      <c r="J99" s="26"/>
    </row>
    <row r="100" spans="1:10">
      <c r="A100" s="20">
        <f t="shared" si="1"/>
        <v>68</v>
      </c>
      <c r="B100" s="27" t="s">
        <v>118</v>
      </c>
      <c r="C100" s="27" t="s">
        <v>119</v>
      </c>
      <c r="D100" s="28"/>
      <c r="E100" s="28"/>
      <c r="F100" s="29"/>
      <c r="G100" s="24">
        <v>212213494</v>
      </c>
      <c r="H100" s="25"/>
      <c r="I100" s="26"/>
      <c r="J100" s="26"/>
    </row>
    <row r="101" spans="1:10">
      <c r="A101" s="20">
        <f t="shared" si="1"/>
        <v>69</v>
      </c>
      <c r="B101" s="27" t="s">
        <v>120</v>
      </c>
      <c r="C101" s="27" t="s">
        <v>121</v>
      </c>
      <c r="D101" s="28"/>
      <c r="E101" s="28"/>
      <c r="F101" s="29"/>
      <c r="G101" s="24">
        <v>65312000</v>
      </c>
      <c r="H101" s="25"/>
      <c r="I101" s="26"/>
      <c r="J101" s="26"/>
    </row>
    <row r="102" spans="1:10">
      <c r="A102" s="20">
        <f t="shared" si="1"/>
        <v>70</v>
      </c>
      <c r="B102" s="27" t="s">
        <v>122</v>
      </c>
      <c r="C102" s="27" t="s">
        <v>123</v>
      </c>
      <c r="D102" s="28"/>
      <c r="E102" s="28"/>
      <c r="F102" s="29"/>
      <c r="G102" s="24">
        <v>8853390</v>
      </c>
      <c r="H102" s="25"/>
      <c r="I102" s="26"/>
      <c r="J102" s="26"/>
    </row>
    <row r="103" spans="1:10">
      <c r="A103" s="20">
        <f t="shared" si="1"/>
        <v>71</v>
      </c>
      <c r="B103" s="27"/>
      <c r="C103" s="27"/>
      <c r="D103" s="28"/>
      <c r="E103" s="28"/>
      <c r="F103" s="29"/>
      <c r="G103" s="24"/>
      <c r="H103" s="25"/>
      <c r="I103" s="26"/>
      <c r="J103" s="26"/>
    </row>
    <row r="104" spans="1:10">
      <c r="A104" s="20">
        <f t="shared" si="1"/>
        <v>72</v>
      </c>
      <c r="B104" s="27"/>
      <c r="C104" s="27"/>
      <c r="D104" s="28"/>
      <c r="E104" s="28"/>
      <c r="F104" s="29"/>
      <c r="G104" s="24"/>
      <c r="H104" s="25"/>
      <c r="I104" s="26"/>
      <c r="J104" s="26"/>
    </row>
    <row r="105" spans="1:10">
      <c r="A105" s="20">
        <f t="shared" si="1"/>
        <v>73</v>
      </c>
      <c r="B105" s="27"/>
      <c r="C105" s="27"/>
      <c r="D105" s="28"/>
      <c r="E105" s="28"/>
      <c r="F105" s="29"/>
      <c r="G105" s="24"/>
      <c r="H105" s="25"/>
      <c r="I105" s="26"/>
      <c r="J105" s="26"/>
    </row>
    <row r="106" spans="1:10">
      <c r="A106" s="20">
        <f t="shared" si="1"/>
        <v>74</v>
      </c>
      <c r="B106" s="27"/>
      <c r="C106" s="27"/>
      <c r="D106" s="28"/>
      <c r="E106" s="28"/>
      <c r="F106" s="29"/>
      <c r="G106" s="24"/>
      <c r="H106" s="25"/>
      <c r="I106" s="26"/>
      <c r="J106" s="26"/>
    </row>
    <row r="107" spans="1:10">
      <c r="A107" s="20">
        <f t="shared" si="1"/>
        <v>75</v>
      </c>
      <c r="B107" s="27"/>
      <c r="C107" s="27"/>
      <c r="D107" s="28"/>
      <c r="E107" s="28"/>
      <c r="F107" s="29"/>
      <c r="G107" s="24"/>
      <c r="H107" s="25"/>
      <c r="I107" s="26"/>
      <c r="J107" s="26"/>
    </row>
    <row r="108" spans="1:10">
      <c r="A108" s="20">
        <f t="shared" si="1"/>
        <v>76</v>
      </c>
      <c r="B108" s="27"/>
      <c r="C108" s="27"/>
      <c r="D108" s="28"/>
      <c r="E108" s="28"/>
      <c r="F108" s="29"/>
      <c r="G108" s="24"/>
      <c r="H108" s="25"/>
      <c r="I108" s="26"/>
      <c r="J108" s="26"/>
    </row>
    <row r="109" spans="1:10">
      <c r="A109" s="20">
        <f t="shared" si="1"/>
        <v>77</v>
      </c>
      <c r="B109" s="27"/>
      <c r="C109" s="27"/>
      <c r="D109" s="28"/>
      <c r="E109" s="28"/>
      <c r="F109" s="29"/>
      <c r="G109" s="24"/>
      <c r="H109" s="25"/>
      <c r="I109" s="26"/>
      <c r="J109" s="26"/>
    </row>
    <row r="110" spans="1:10">
      <c r="A110" s="20">
        <f t="shared" si="1"/>
        <v>78</v>
      </c>
      <c r="B110" s="27"/>
      <c r="C110" s="27"/>
      <c r="D110" s="28"/>
      <c r="E110" s="28"/>
      <c r="F110" s="29"/>
      <c r="G110" s="24"/>
      <c r="H110" s="25"/>
      <c r="I110" s="26"/>
      <c r="J110" s="26"/>
    </row>
    <row r="111" spans="1:10">
      <c r="A111" s="20">
        <f t="shared" si="1"/>
        <v>79</v>
      </c>
      <c r="B111" s="27"/>
      <c r="C111" s="27"/>
      <c r="D111" s="28"/>
      <c r="E111" s="28"/>
      <c r="F111" s="29"/>
      <c r="G111" s="24"/>
      <c r="H111" s="25"/>
      <c r="I111" s="26"/>
      <c r="J111" s="26"/>
    </row>
    <row r="112" spans="1:10">
      <c r="A112" s="20">
        <f t="shared" si="1"/>
        <v>80</v>
      </c>
      <c r="B112" s="27"/>
      <c r="C112" s="27"/>
      <c r="D112" s="28"/>
      <c r="E112" s="28"/>
      <c r="F112" s="29"/>
      <c r="G112" s="24"/>
      <c r="H112" s="25"/>
      <c r="I112" s="26"/>
      <c r="J112" s="26"/>
    </row>
    <row r="113" spans="1:10">
      <c r="A113" s="20">
        <f t="shared" si="1"/>
        <v>81</v>
      </c>
      <c r="B113" s="27"/>
      <c r="C113" s="27"/>
      <c r="D113" s="28"/>
      <c r="E113" s="28"/>
      <c r="F113" s="29"/>
      <c r="G113" s="24"/>
      <c r="H113" s="25"/>
      <c r="I113" s="26"/>
      <c r="J113" s="26"/>
    </row>
    <row r="114" spans="1:10">
      <c r="A114" s="20">
        <f t="shared" si="1"/>
        <v>82</v>
      </c>
      <c r="B114" s="27"/>
      <c r="C114" s="27"/>
      <c r="D114" s="28"/>
      <c r="E114" s="28"/>
      <c r="F114" s="29"/>
      <c r="G114" s="24"/>
      <c r="H114" s="25"/>
      <c r="I114" s="26"/>
      <c r="J114" s="26"/>
    </row>
    <row r="115" spans="1:10">
      <c r="A115" s="20">
        <f t="shared" si="1"/>
        <v>83</v>
      </c>
      <c r="B115" s="27"/>
      <c r="C115" s="27"/>
      <c r="D115" s="28"/>
      <c r="E115" s="28"/>
      <c r="F115" s="29"/>
      <c r="G115" s="24"/>
      <c r="H115" s="25"/>
      <c r="I115" s="26"/>
      <c r="J115" s="26"/>
    </row>
    <row r="116" spans="1:10">
      <c r="A116" s="20">
        <f t="shared" si="1"/>
        <v>84</v>
      </c>
      <c r="B116" s="27"/>
      <c r="C116" s="27"/>
      <c r="D116" s="28"/>
      <c r="E116" s="28"/>
      <c r="F116" s="29"/>
      <c r="G116" s="24"/>
      <c r="H116" s="25"/>
      <c r="I116" s="26"/>
      <c r="J116" s="26"/>
    </row>
    <row r="117" spans="1:10">
      <c r="A117" s="20">
        <f t="shared" si="1"/>
        <v>85</v>
      </c>
      <c r="B117" s="27"/>
      <c r="C117" s="27"/>
      <c r="D117" s="28"/>
      <c r="E117" s="28"/>
      <c r="F117" s="29"/>
      <c r="G117" s="24"/>
      <c r="H117" s="25"/>
      <c r="I117" s="26"/>
      <c r="J117" s="26"/>
    </row>
    <row r="118" spans="1:10">
      <c r="A118" s="20">
        <f t="shared" si="1"/>
        <v>86</v>
      </c>
      <c r="B118" s="27"/>
      <c r="C118" s="27"/>
      <c r="D118" s="28"/>
      <c r="E118" s="28"/>
      <c r="F118" s="29"/>
      <c r="G118" s="24"/>
      <c r="H118" s="25"/>
      <c r="I118" s="26"/>
      <c r="J118" s="26"/>
    </row>
    <row r="119" spans="1:10">
      <c r="A119" s="20">
        <f t="shared" si="1"/>
        <v>87</v>
      </c>
      <c r="B119" s="27"/>
      <c r="C119" s="27"/>
      <c r="D119" s="28"/>
      <c r="E119" s="28"/>
      <c r="F119" s="29"/>
      <c r="G119" s="24"/>
      <c r="H119" s="25"/>
      <c r="I119" s="26"/>
      <c r="J119" s="26"/>
    </row>
    <row r="120" spans="1:10">
      <c r="A120" s="20">
        <f t="shared" si="1"/>
        <v>88</v>
      </c>
      <c r="B120" s="27"/>
      <c r="C120" s="27"/>
      <c r="D120" s="28"/>
      <c r="E120" s="28"/>
      <c r="F120" s="29"/>
      <c r="G120" s="24"/>
      <c r="H120" s="25"/>
      <c r="I120" s="26"/>
      <c r="J120" s="26"/>
    </row>
    <row r="121" spans="1:10">
      <c r="A121" s="20">
        <f t="shared" si="1"/>
        <v>89</v>
      </c>
      <c r="B121" s="27"/>
      <c r="C121" s="27"/>
      <c r="D121" s="28"/>
      <c r="E121" s="28"/>
      <c r="F121" s="29"/>
      <c r="G121" s="24"/>
      <c r="H121" s="25"/>
      <c r="I121" s="26"/>
      <c r="J121" s="26"/>
    </row>
    <row r="122" spans="1:10">
      <c r="A122" s="20">
        <f t="shared" si="1"/>
        <v>90</v>
      </c>
      <c r="B122" s="27"/>
      <c r="C122" s="27"/>
      <c r="D122" s="28"/>
      <c r="E122" s="28"/>
      <c r="F122" s="29"/>
      <c r="G122" s="24"/>
      <c r="H122" s="25"/>
      <c r="I122" s="26"/>
      <c r="J122" s="26"/>
    </row>
    <row r="123" spans="1:10">
      <c r="A123" s="20">
        <f t="shared" si="1"/>
        <v>91</v>
      </c>
      <c r="B123" s="27"/>
      <c r="C123" s="27"/>
      <c r="D123" s="28"/>
      <c r="E123" s="28"/>
      <c r="F123" s="29"/>
      <c r="G123" s="24"/>
      <c r="H123" s="25"/>
      <c r="I123" s="26"/>
      <c r="J123" s="26"/>
    </row>
    <row r="124" spans="1:10">
      <c r="A124" s="20">
        <f t="shared" si="1"/>
        <v>92</v>
      </c>
      <c r="B124" s="27"/>
      <c r="C124" s="27"/>
      <c r="D124" s="28"/>
      <c r="E124" s="28"/>
      <c r="F124" s="29"/>
      <c r="G124" s="24"/>
      <c r="H124" s="25"/>
      <c r="I124" s="26"/>
      <c r="J124" s="26"/>
    </row>
    <row r="125" spans="1:10">
      <c r="A125" s="20">
        <f t="shared" si="1"/>
        <v>93</v>
      </c>
      <c r="B125" s="27"/>
      <c r="C125" s="27"/>
      <c r="D125" s="28"/>
      <c r="E125" s="28"/>
      <c r="F125" s="29"/>
      <c r="G125" s="24"/>
      <c r="H125" s="25"/>
      <c r="I125" s="26"/>
      <c r="J125" s="26"/>
    </row>
    <row r="126" spans="1:10">
      <c r="A126" s="20">
        <f t="shared" si="1"/>
        <v>94</v>
      </c>
      <c r="B126" s="27"/>
      <c r="C126" s="27"/>
      <c r="D126" s="28"/>
      <c r="E126" s="28"/>
      <c r="F126" s="29"/>
      <c r="G126" s="24"/>
      <c r="H126" s="25"/>
      <c r="I126" s="26"/>
      <c r="J126" s="26"/>
    </row>
    <row r="127" spans="1:10">
      <c r="A127" s="20">
        <f t="shared" si="1"/>
        <v>95</v>
      </c>
      <c r="B127" s="27"/>
      <c r="C127" s="27"/>
      <c r="D127" s="28"/>
      <c r="E127" s="28"/>
      <c r="F127" s="29"/>
      <c r="G127" s="24"/>
      <c r="H127" s="25"/>
      <c r="I127" s="26"/>
      <c r="J127" s="26"/>
    </row>
    <row r="128" spans="1:10">
      <c r="A128" s="20">
        <f t="shared" si="1"/>
        <v>96</v>
      </c>
      <c r="B128" s="27"/>
      <c r="C128" s="27"/>
      <c r="D128" s="28"/>
      <c r="E128" s="28"/>
      <c r="F128" s="29"/>
      <c r="G128" s="24"/>
      <c r="H128" s="25"/>
      <c r="I128" s="26"/>
      <c r="J128" s="26"/>
    </row>
    <row r="129" spans="1:10">
      <c r="A129" s="20">
        <f t="shared" si="1"/>
        <v>97</v>
      </c>
      <c r="B129" s="27"/>
      <c r="C129" s="27"/>
      <c r="D129" s="28"/>
      <c r="E129" s="28"/>
      <c r="F129" s="29"/>
      <c r="G129" s="24"/>
      <c r="H129" s="25"/>
      <c r="I129" s="26"/>
      <c r="J129" s="26"/>
    </row>
    <row r="130" spans="1:10">
      <c r="A130" s="20">
        <f t="shared" si="1"/>
        <v>98</v>
      </c>
      <c r="B130" s="27"/>
      <c r="C130" s="27"/>
      <c r="D130" s="28"/>
      <c r="E130" s="28"/>
      <c r="F130" s="29"/>
      <c r="G130" s="24"/>
      <c r="H130" s="25"/>
      <c r="I130" s="26"/>
      <c r="J130" s="26"/>
    </row>
    <row r="131" spans="1:10">
      <c r="A131" s="20">
        <f t="shared" si="1"/>
        <v>99</v>
      </c>
      <c r="B131" s="27"/>
      <c r="C131" s="27"/>
      <c r="D131" s="28"/>
      <c r="E131" s="28"/>
      <c r="F131" s="29"/>
      <c r="G131" s="24"/>
      <c r="H131" s="25"/>
      <c r="I131" s="26"/>
      <c r="J131" s="26"/>
    </row>
    <row r="132" spans="1:10">
      <c r="A132" s="20">
        <f t="shared" si="1"/>
        <v>100</v>
      </c>
      <c r="B132" s="27"/>
      <c r="C132" s="27"/>
      <c r="D132" s="28"/>
      <c r="E132" s="28"/>
      <c r="F132" s="29"/>
      <c r="G132" s="24"/>
      <c r="H132" s="25"/>
      <c r="I132" s="26"/>
      <c r="J132" s="26"/>
    </row>
    <row r="133" spans="1:10">
      <c r="A133" s="20">
        <f t="shared" si="1"/>
        <v>101</v>
      </c>
      <c r="B133" s="27"/>
      <c r="C133" s="27"/>
      <c r="D133" s="28"/>
      <c r="E133" s="28"/>
      <c r="F133" s="29"/>
      <c r="G133" s="24"/>
      <c r="H133" s="25"/>
      <c r="I133" s="26"/>
      <c r="J133" s="26"/>
    </row>
    <row r="134" spans="1:10">
      <c r="A134" s="20">
        <f t="shared" si="1"/>
        <v>102</v>
      </c>
      <c r="B134" s="27"/>
      <c r="C134" s="27"/>
      <c r="D134" s="28"/>
      <c r="E134" s="28"/>
      <c r="F134" s="29"/>
      <c r="G134" s="24"/>
      <c r="H134" s="25"/>
      <c r="I134" s="26"/>
      <c r="J134" s="26"/>
    </row>
    <row r="135" spans="1:10">
      <c r="A135" s="20">
        <f t="shared" si="1"/>
        <v>103</v>
      </c>
      <c r="B135" s="27"/>
      <c r="C135" s="27"/>
      <c r="D135" s="28"/>
      <c r="E135" s="28"/>
      <c r="F135" s="29"/>
      <c r="G135" s="24"/>
      <c r="H135" s="25"/>
      <c r="I135" s="26"/>
      <c r="J135" s="26"/>
    </row>
    <row r="136" spans="1:10">
      <c r="A136" s="20">
        <f t="shared" si="1"/>
        <v>104</v>
      </c>
      <c r="B136" s="27"/>
      <c r="C136" s="27"/>
      <c r="D136" s="28"/>
      <c r="E136" s="28"/>
      <c r="F136" s="29"/>
      <c r="G136" s="24"/>
      <c r="H136" s="25"/>
      <c r="I136" s="26"/>
      <c r="J136" s="26"/>
    </row>
    <row r="137" spans="1:10">
      <c r="A137" s="20">
        <f t="shared" si="1"/>
        <v>105</v>
      </c>
      <c r="B137" s="27"/>
      <c r="C137" s="27"/>
      <c r="D137" s="28"/>
      <c r="E137" s="28"/>
      <c r="F137" s="29"/>
      <c r="G137" s="24"/>
      <c r="H137" s="25"/>
      <c r="I137" s="26"/>
      <c r="J137" s="26"/>
    </row>
    <row r="138" spans="1:10">
      <c r="A138" s="20">
        <f t="shared" si="1"/>
        <v>106</v>
      </c>
      <c r="B138" s="27"/>
      <c r="C138" s="27"/>
      <c r="D138" s="28"/>
      <c r="E138" s="28"/>
      <c r="F138" s="29"/>
      <c r="G138" s="24"/>
      <c r="H138" s="25"/>
      <c r="I138" s="26"/>
      <c r="J138" s="26"/>
    </row>
    <row r="139" spans="1:10">
      <c r="A139" s="20">
        <f t="shared" si="1"/>
        <v>107</v>
      </c>
      <c r="B139" s="27"/>
      <c r="C139" s="27"/>
      <c r="D139" s="28"/>
      <c r="E139" s="28"/>
      <c r="F139" s="29"/>
      <c r="G139" s="24"/>
      <c r="H139" s="25"/>
      <c r="I139" s="26"/>
      <c r="J139" s="26"/>
    </row>
    <row r="140" spans="1:10">
      <c r="A140" s="20">
        <f t="shared" si="1"/>
        <v>108</v>
      </c>
      <c r="B140" s="27"/>
      <c r="C140" s="27"/>
      <c r="D140" s="28"/>
      <c r="E140" s="28"/>
      <c r="F140" s="29"/>
      <c r="G140" s="24"/>
      <c r="H140" s="25"/>
      <c r="I140" s="26"/>
      <c r="J140" s="26"/>
    </row>
    <row r="141" spans="1:10">
      <c r="A141" s="20">
        <f t="shared" si="1"/>
        <v>109</v>
      </c>
      <c r="B141" s="27"/>
      <c r="C141" s="27"/>
      <c r="D141" s="28"/>
      <c r="E141" s="28"/>
      <c r="F141" s="29"/>
      <c r="G141" s="24"/>
      <c r="H141" s="25"/>
      <c r="I141" s="26"/>
      <c r="J141" s="26"/>
    </row>
    <row r="142" spans="1:10">
      <c r="A142" s="20">
        <f t="shared" si="1"/>
        <v>110</v>
      </c>
      <c r="B142" s="27"/>
      <c r="C142" s="27"/>
      <c r="D142" s="28"/>
      <c r="E142" s="28"/>
      <c r="F142" s="29"/>
      <c r="G142" s="24"/>
      <c r="H142" s="25"/>
      <c r="I142" s="26"/>
      <c r="J142" s="26"/>
    </row>
    <row r="143" spans="1:10">
      <c r="A143" s="20">
        <f t="shared" si="1"/>
        <v>111</v>
      </c>
      <c r="B143" s="27"/>
      <c r="C143" s="27"/>
      <c r="D143" s="28"/>
      <c r="E143" s="28"/>
      <c r="F143" s="29"/>
      <c r="G143" s="24"/>
      <c r="H143" s="25"/>
      <c r="I143" s="26"/>
      <c r="J143" s="26"/>
    </row>
    <row r="144" spans="1:10">
      <c r="A144" s="20">
        <f t="shared" si="1"/>
        <v>112</v>
      </c>
      <c r="B144" s="27"/>
      <c r="C144" s="27"/>
      <c r="D144" s="28"/>
      <c r="E144" s="28"/>
      <c r="F144" s="29"/>
      <c r="G144" s="24"/>
      <c r="H144" s="25"/>
      <c r="I144" s="26"/>
      <c r="J144" s="26"/>
    </row>
    <row r="145" spans="1:10">
      <c r="A145" s="20">
        <f t="shared" si="1"/>
        <v>113</v>
      </c>
      <c r="B145" s="27"/>
      <c r="C145" s="27"/>
      <c r="D145" s="28"/>
      <c r="E145" s="28"/>
      <c r="F145" s="29"/>
      <c r="G145" s="24"/>
      <c r="H145" s="25"/>
      <c r="I145" s="26"/>
      <c r="J145" s="26"/>
    </row>
    <row r="146" spans="1:10">
      <c r="A146" s="20">
        <f t="shared" si="1"/>
        <v>114</v>
      </c>
      <c r="B146" s="27"/>
      <c r="C146" s="27"/>
      <c r="D146" s="28"/>
      <c r="E146" s="28"/>
      <c r="F146" s="29"/>
      <c r="G146" s="24"/>
      <c r="H146" s="25"/>
      <c r="I146" s="26"/>
      <c r="J146" s="26"/>
    </row>
    <row r="147" spans="1:10">
      <c r="A147" s="20">
        <f t="shared" si="1"/>
        <v>115</v>
      </c>
      <c r="B147" s="27"/>
      <c r="C147" s="27"/>
      <c r="D147" s="28"/>
      <c r="E147" s="28"/>
      <c r="F147" s="29"/>
      <c r="G147" s="24"/>
      <c r="H147" s="25"/>
      <c r="I147" s="26"/>
      <c r="J147" s="26"/>
    </row>
    <row r="148" spans="1:10">
      <c r="A148" s="20">
        <f t="shared" si="1"/>
        <v>116</v>
      </c>
      <c r="B148" s="27"/>
      <c r="C148" s="27"/>
      <c r="D148" s="28"/>
      <c r="E148" s="28"/>
      <c r="F148" s="29"/>
      <c r="G148" s="24"/>
      <c r="H148" s="25"/>
      <c r="I148" s="26"/>
      <c r="J148" s="26"/>
    </row>
    <row r="149" spans="1:10">
      <c r="A149" s="20">
        <f t="shared" si="1"/>
        <v>117</v>
      </c>
      <c r="B149" s="21"/>
      <c r="C149" s="27"/>
      <c r="D149" s="28"/>
      <c r="E149" s="28"/>
      <c r="F149" s="29"/>
      <c r="G149" s="24"/>
      <c r="H149" s="25"/>
      <c r="I149" s="26"/>
      <c r="J149" s="26"/>
    </row>
    <row r="150" spans="1:10">
      <c r="A150" s="20">
        <f t="shared" si="1"/>
        <v>118</v>
      </c>
      <c r="B150" s="21"/>
      <c r="C150" s="27"/>
      <c r="D150" s="28"/>
      <c r="E150" s="28"/>
      <c r="F150" s="29"/>
      <c r="G150" s="24"/>
      <c r="H150" s="25"/>
      <c r="I150" s="26"/>
      <c r="J150" s="26"/>
    </row>
    <row r="151" ht="15.75" spans="1:10">
      <c r="A151" s="30" t="s">
        <v>124</v>
      </c>
      <c r="B151" s="31"/>
      <c r="C151" s="31"/>
      <c r="D151" s="31"/>
      <c r="E151" s="31"/>
      <c r="F151" s="32"/>
      <c r="G151" s="33">
        <f>SUM(G33:H150)</f>
        <v>5745818045.13155</v>
      </c>
      <c r="H151" s="34"/>
      <c r="I151" s="35">
        <f>G151-[1]Sheet1!$C$72</f>
        <v>0</v>
      </c>
      <c r="J151" s="36"/>
    </row>
    <row r="152" ht="15.75" spans="1:10">
      <c r="A152" s="37"/>
      <c r="B152" s="37"/>
      <c r="C152" s="37"/>
      <c r="D152" s="37"/>
      <c r="E152" s="37"/>
      <c r="F152" s="37"/>
      <c r="G152" s="38"/>
      <c r="H152" s="39"/>
      <c r="I152" s="40"/>
      <c r="J152" s="40"/>
    </row>
    <row r="153" ht="15.75" spans="1:10">
      <c r="A153" s="37"/>
      <c r="B153" s="37"/>
      <c r="C153" s="37"/>
      <c r="D153" s="37"/>
      <c r="E153" s="37"/>
      <c r="F153" s="37"/>
      <c r="G153" s="38"/>
      <c r="H153" s="39"/>
      <c r="I153" s="40"/>
      <c r="J153" s="40"/>
    </row>
    <row r="154" ht="15.75" spans="1:10">
      <c r="A154" s="37"/>
      <c r="B154" s="37"/>
      <c r="C154" s="37"/>
      <c r="D154" s="37"/>
      <c r="E154" s="37"/>
      <c r="F154" s="37"/>
      <c r="G154" s="38"/>
      <c r="H154" s="39"/>
      <c r="I154" s="40"/>
      <c r="J154" s="40"/>
    </row>
    <row r="155" ht="15.75" spans="1:10">
      <c r="A155" s="4"/>
      <c r="B155" s="4"/>
      <c r="C155" s="4"/>
      <c r="D155" s="4"/>
      <c r="E155" s="4"/>
      <c r="F155" s="4"/>
      <c r="G155" s="4"/>
      <c r="H155" s="4"/>
      <c r="I155" s="4"/>
      <c r="J155" s="4"/>
    </row>
    <row r="156" ht="15.75" spans="1:10">
      <c r="A156" s="7" t="s">
        <v>125</v>
      </c>
      <c r="B156" s="4"/>
      <c r="C156" s="4"/>
      <c r="D156" s="4"/>
      <c r="E156" s="4"/>
      <c r="F156" s="4"/>
      <c r="G156" s="4"/>
      <c r="H156" s="4"/>
      <c r="I156" s="4"/>
      <c r="J156" s="4"/>
    </row>
    <row r="157" ht="15.75" spans="1:10">
      <c r="A157" s="4"/>
      <c r="B157" s="8" t="s">
        <v>126</v>
      </c>
      <c r="C157" s="4"/>
      <c r="D157" s="4"/>
      <c r="E157" s="4"/>
      <c r="F157" s="4"/>
      <c r="G157" s="4"/>
      <c r="H157" s="4"/>
      <c r="I157" s="4"/>
      <c r="J157" s="4"/>
    </row>
    <row r="158" ht="15.75" spans="1:10">
      <c r="A158" s="4"/>
      <c r="B158" s="41" t="s">
        <v>127</v>
      </c>
      <c r="C158" s="4"/>
      <c r="D158" s="4"/>
      <c r="E158" s="4"/>
      <c r="F158" s="4"/>
      <c r="G158" s="4"/>
      <c r="H158" s="4"/>
      <c r="I158" s="4"/>
      <c r="J158" s="4"/>
    </row>
    <row r="159" ht="15.75" spans="1:10">
      <c r="A159" s="4"/>
      <c r="B159" s="8" t="s">
        <v>128</v>
      </c>
      <c r="C159" s="4"/>
      <c r="D159" s="4"/>
      <c r="E159" s="4"/>
      <c r="F159" s="4"/>
      <c r="G159" s="4"/>
      <c r="H159" s="4"/>
      <c r="I159" s="4"/>
      <c r="J159" s="4"/>
    </row>
    <row r="160" ht="15.75" spans="1:10">
      <c r="A160" s="4"/>
      <c r="B160" s="8" t="s">
        <v>129</v>
      </c>
      <c r="C160" s="4"/>
      <c r="D160" s="4"/>
      <c r="E160" s="4"/>
      <c r="F160" s="4"/>
      <c r="G160" s="4"/>
      <c r="H160" s="4"/>
      <c r="I160" s="4"/>
      <c r="J160" s="4"/>
    </row>
    <row r="161" ht="15.75" spans="1:10">
      <c r="A161" s="7"/>
      <c r="B161" s="4"/>
      <c r="C161" s="4"/>
      <c r="D161" s="4"/>
      <c r="E161" s="4"/>
      <c r="F161" s="4"/>
      <c r="G161" s="4"/>
      <c r="H161" s="4"/>
      <c r="I161" s="4"/>
      <c r="J161" s="4"/>
    </row>
    <row r="162" ht="15.75" spans="1:10">
      <c r="A162" s="7" t="s">
        <v>130</v>
      </c>
      <c r="B162" s="4"/>
      <c r="C162" s="4"/>
      <c r="D162" s="4"/>
      <c r="E162" s="4"/>
      <c r="F162" s="4"/>
      <c r="G162" s="4"/>
      <c r="H162" s="4"/>
      <c r="I162" s="4"/>
      <c r="J162" s="4"/>
    </row>
    <row r="163" ht="15.75" spans="1:10">
      <c r="A163" s="4"/>
      <c r="B163" s="8" t="s">
        <v>131</v>
      </c>
      <c r="C163" s="4"/>
      <c r="D163" s="4"/>
      <c r="E163" s="4"/>
      <c r="F163" s="4"/>
      <c r="G163" s="4"/>
      <c r="H163" s="4"/>
      <c r="I163" s="4"/>
      <c r="J163" s="4"/>
    </row>
    <row r="164" ht="15.75" spans="1:10">
      <c r="A164" s="4"/>
      <c r="B164" s="8" t="s">
        <v>132</v>
      </c>
      <c r="C164" s="4"/>
      <c r="D164" s="4"/>
      <c r="E164" s="4"/>
      <c r="F164" s="4"/>
      <c r="G164" s="4"/>
      <c r="H164" s="4"/>
      <c r="I164" s="4"/>
      <c r="J164" s="4"/>
    </row>
    <row r="165" ht="15.75" spans="1:10">
      <c r="A165" s="4"/>
      <c r="B165" s="8" t="s">
        <v>132</v>
      </c>
      <c r="C165" s="4"/>
      <c r="D165" s="4"/>
      <c r="E165" s="4"/>
      <c r="F165" s="4"/>
      <c r="G165" s="4"/>
      <c r="H165" s="4"/>
      <c r="I165" s="4"/>
      <c r="J165" s="4"/>
    </row>
    <row r="166" ht="15.75" spans="1:10">
      <c r="A166" s="4"/>
      <c r="B166" s="8" t="s">
        <v>133</v>
      </c>
      <c r="C166" s="4"/>
      <c r="D166" s="4"/>
      <c r="E166" s="4"/>
      <c r="F166" s="4"/>
      <c r="G166" s="4"/>
      <c r="H166" s="4"/>
      <c r="I166" s="4"/>
      <c r="J166" s="4"/>
    </row>
    <row r="167" ht="15.75" spans="1:10">
      <c r="A167" s="4"/>
      <c r="B167" s="8" t="s">
        <v>132</v>
      </c>
      <c r="C167" s="4"/>
      <c r="D167" s="4"/>
      <c r="E167" s="4"/>
      <c r="F167" s="4"/>
      <c r="G167" s="4"/>
      <c r="H167" s="4"/>
      <c r="I167" s="4"/>
      <c r="J167" s="4"/>
    </row>
    <row r="168" ht="15.75" spans="1:10">
      <c r="A168" s="4"/>
      <c r="B168" s="8" t="s">
        <v>132</v>
      </c>
      <c r="C168" s="4"/>
      <c r="D168" s="4"/>
      <c r="E168" s="4"/>
      <c r="F168" s="4"/>
      <c r="G168" s="4"/>
      <c r="H168" s="4"/>
      <c r="I168" s="4"/>
      <c r="J168" s="4"/>
    </row>
    <row r="169" ht="15.75" spans="1:10">
      <c r="A169" s="4"/>
      <c r="B169" s="8" t="s">
        <v>134</v>
      </c>
      <c r="C169" s="4"/>
      <c r="D169" s="4"/>
      <c r="E169" s="4"/>
      <c r="F169" s="4"/>
      <c r="G169" s="4"/>
      <c r="H169" s="4"/>
      <c r="I169" s="4"/>
      <c r="J169" s="4"/>
    </row>
    <row r="170" ht="15.75" spans="1:10">
      <c r="A170" s="4"/>
      <c r="B170" s="8" t="s">
        <v>132</v>
      </c>
      <c r="C170" s="4"/>
      <c r="D170" s="4"/>
      <c r="E170" s="4"/>
      <c r="F170" s="4"/>
      <c r="G170" s="4"/>
      <c r="H170" s="4"/>
      <c r="I170" s="4"/>
      <c r="J170" s="4"/>
    </row>
    <row r="171" ht="15.75" spans="1:10">
      <c r="A171" s="4"/>
      <c r="B171" s="8" t="s">
        <v>132</v>
      </c>
      <c r="C171" s="4"/>
      <c r="D171" s="4"/>
      <c r="E171" s="4"/>
      <c r="F171" s="4"/>
      <c r="G171" s="4"/>
      <c r="H171" s="4"/>
      <c r="I171" s="4"/>
      <c r="J171" s="4"/>
    </row>
    <row r="172" ht="15.75" spans="1:10">
      <c r="A172" s="4"/>
      <c r="B172" s="7" t="s">
        <v>135</v>
      </c>
      <c r="C172" s="4"/>
      <c r="D172" s="4"/>
      <c r="E172" s="4"/>
      <c r="F172" s="4"/>
      <c r="G172" s="4"/>
      <c r="H172" s="4"/>
      <c r="I172" s="4"/>
      <c r="J172" s="4"/>
    </row>
    <row r="173" ht="15.75" spans="1:10">
      <c r="A173" s="42" t="s">
        <v>136</v>
      </c>
      <c r="B173" s="4"/>
      <c r="C173" s="4"/>
      <c r="D173" s="4"/>
      <c r="E173" s="4"/>
      <c r="F173" s="4"/>
      <c r="G173" s="4"/>
      <c r="H173" s="4"/>
      <c r="I173" s="4"/>
      <c r="J173" s="4"/>
    </row>
    <row r="174" ht="15.75" spans="1:10">
      <c r="A174" s="4"/>
      <c r="B174" s="8" t="s">
        <v>132</v>
      </c>
      <c r="C174" s="4"/>
      <c r="D174" s="4"/>
      <c r="E174" s="4"/>
      <c r="F174" s="4"/>
      <c r="G174" s="4"/>
      <c r="H174" s="4"/>
      <c r="I174" s="4"/>
      <c r="J174" s="4"/>
    </row>
    <row r="175" ht="15.75" spans="1:10">
      <c r="A175" s="4"/>
      <c r="B175" s="8" t="s">
        <v>132</v>
      </c>
      <c r="C175" s="4"/>
      <c r="D175" s="4"/>
      <c r="E175" s="4"/>
      <c r="F175" s="4"/>
      <c r="G175" s="4"/>
      <c r="H175" s="4"/>
      <c r="I175" s="4"/>
      <c r="J175" s="4"/>
    </row>
    <row r="176" ht="15.75" spans="1:10">
      <c r="A176" s="4"/>
      <c r="B176" s="8" t="s">
        <v>132</v>
      </c>
      <c r="C176" s="4"/>
      <c r="D176" s="4"/>
      <c r="E176" s="4"/>
      <c r="F176" s="4"/>
      <c r="G176" s="4"/>
      <c r="H176" s="4"/>
      <c r="I176" s="4"/>
      <c r="J176" s="4"/>
    </row>
    <row r="177" ht="15.75" spans="1:10">
      <c r="A177" s="7" t="s">
        <v>137</v>
      </c>
      <c r="B177" s="4"/>
      <c r="C177" s="4"/>
      <c r="D177" s="4"/>
      <c r="E177" s="4"/>
      <c r="F177" s="4"/>
      <c r="G177" s="4"/>
      <c r="H177" s="4"/>
      <c r="I177" s="4"/>
      <c r="J177" s="4"/>
    </row>
    <row r="178" ht="15.75" spans="1:10">
      <c r="A178" s="43" t="s">
        <v>138</v>
      </c>
      <c r="B178" s="43"/>
      <c r="C178" s="43"/>
      <c r="D178" s="43"/>
      <c r="E178" s="43"/>
      <c r="F178" s="43"/>
      <c r="G178" s="43"/>
      <c r="H178" s="43"/>
      <c r="I178" s="43"/>
      <c r="J178" s="43"/>
    </row>
    <row r="179" ht="15.75" spans="1:10">
      <c r="A179" s="7"/>
      <c r="B179" s="4"/>
      <c r="C179" s="4"/>
      <c r="D179" s="4"/>
      <c r="E179" s="4"/>
      <c r="F179" s="4"/>
      <c r="G179" s="4"/>
      <c r="H179" s="4"/>
      <c r="I179" s="4"/>
      <c r="J179" s="4"/>
    </row>
    <row r="180" ht="15.75" spans="1:10">
      <c r="A180" s="7" t="s">
        <v>139</v>
      </c>
      <c r="B180" s="4"/>
      <c r="C180" s="4"/>
      <c r="D180" s="4"/>
      <c r="E180" s="4"/>
      <c r="F180" s="4"/>
      <c r="G180" s="4"/>
      <c r="H180" s="4"/>
      <c r="I180" s="4"/>
      <c r="J180" s="4"/>
    </row>
    <row r="181" ht="15.75" spans="1:10">
      <c r="A181" s="8" t="s">
        <v>140</v>
      </c>
      <c r="B181" s="4"/>
      <c r="C181" s="4"/>
      <c r="D181" s="4"/>
      <c r="E181" s="4"/>
      <c r="F181" s="4"/>
      <c r="G181" s="4"/>
      <c r="H181" s="4"/>
      <c r="I181" s="4"/>
      <c r="J181" s="4"/>
    </row>
    <row r="182" ht="15.75" spans="1:10">
      <c r="A182" s="4"/>
      <c r="B182" s="4"/>
      <c r="C182" s="4"/>
      <c r="D182" s="4"/>
      <c r="E182" s="4"/>
      <c r="F182" s="4"/>
      <c r="G182" s="4"/>
      <c r="H182" s="4"/>
      <c r="I182" s="4"/>
      <c r="J182" s="4"/>
    </row>
    <row r="183" ht="15.75" spans="1:10">
      <c r="A183" s="4"/>
      <c r="B183" s="4"/>
      <c r="C183" s="4"/>
      <c r="D183" s="4"/>
      <c r="E183" s="4"/>
      <c r="F183" s="4"/>
      <c r="G183" s="4"/>
      <c r="H183" s="4"/>
      <c r="I183" s="4"/>
      <c r="J183" s="4"/>
    </row>
    <row r="184" ht="15.75" spans="1:10">
      <c r="A184" s="4"/>
      <c r="B184" s="4"/>
      <c r="C184" s="4"/>
      <c r="D184" s="4"/>
      <c r="E184" s="4"/>
      <c r="F184" s="4"/>
      <c r="G184" s="4"/>
      <c r="H184" s="4"/>
      <c r="I184" s="4"/>
      <c r="J184" s="4"/>
    </row>
    <row r="185" ht="15.75" spans="1:10">
      <c r="A185" s="44"/>
      <c r="B185" s="44" t="s">
        <v>141</v>
      </c>
      <c r="C185" s="44"/>
      <c r="D185" s="44"/>
      <c r="E185" s="44"/>
      <c r="F185" s="40" t="s">
        <v>142</v>
      </c>
      <c r="G185" s="40"/>
      <c r="H185" s="44"/>
      <c r="I185" s="44"/>
      <c r="J185" s="44"/>
    </row>
    <row r="186" ht="15.75" spans="1:10">
      <c r="A186" s="4"/>
      <c r="B186" s="4"/>
      <c r="C186" s="4"/>
      <c r="D186" s="4"/>
      <c r="E186" s="4"/>
      <c r="F186" s="4"/>
      <c r="G186" s="4"/>
      <c r="H186" s="4"/>
      <c r="I186" s="4"/>
      <c r="J186" s="4"/>
    </row>
    <row r="187" ht="15.75" spans="1:10">
      <c r="A187" s="4"/>
      <c r="B187" s="4"/>
      <c r="C187" s="4"/>
      <c r="D187" s="4"/>
      <c r="E187" s="4"/>
      <c r="F187" s="4"/>
      <c r="G187" s="4"/>
      <c r="H187" s="4"/>
      <c r="I187" s="4"/>
      <c r="J187" s="4"/>
    </row>
    <row r="188" ht="15.75" spans="1:10">
      <c r="A188" s="4"/>
      <c r="B188" s="4"/>
      <c r="C188" s="4"/>
      <c r="D188" s="4"/>
      <c r="E188" s="4"/>
      <c r="F188" s="4"/>
      <c r="G188" s="4"/>
      <c r="H188" s="4"/>
      <c r="I188" s="4"/>
      <c r="J188" s="4"/>
    </row>
  </sheetData>
  <mergeCells count="152">
    <mergeCell ref="A1:B1"/>
    <mergeCell ref="A2:B2"/>
    <mergeCell ref="A3:B3"/>
    <mergeCell ref="B19:H19"/>
    <mergeCell ref="I19:J19"/>
    <mergeCell ref="B20:H20"/>
    <mergeCell ref="I20:J20"/>
    <mergeCell ref="B21:H21"/>
    <mergeCell ref="I21:J21"/>
    <mergeCell ref="B22:H22"/>
    <mergeCell ref="I22:J22"/>
    <mergeCell ref="B23:H23"/>
    <mergeCell ref="I23:J23"/>
    <mergeCell ref="B24:H24"/>
    <mergeCell ref="I24:J24"/>
    <mergeCell ref="B25:H25"/>
    <mergeCell ref="I25:J25"/>
    <mergeCell ref="B26:H26"/>
    <mergeCell ref="I26:J26"/>
    <mergeCell ref="B27:H27"/>
    <mergeCell ref="I27:J27"/>
    <mergeCell ref="B28:H28"/>
    <mergeCell ref="I28:J28"/>
    <mergeCell ref="B29:H29"/>
    <mergeCell ref="I29:J29"/>
    <mergeCell ref="C32:F32"/>
    <mergeCell ref="G32:H32"/>
    <mergeCell ref="I32:J32"/>
    <mergeCell ref="C33:F33"/>
    <mergeCell ref="I33:J33"/>
    <mergeCell ref="C34:F34"/>
    <mergeCell ref="I34:J34"/>
    <mergeCell ref="C35:F35"/>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I116:J116"/>
    <mergeCell ref="I117:J117"/>
    <mergeCell ref="I118:J118"/>
    <mergeCell ref="I119:J119"/>
    <mergeCell ref="I120:J120"/>
    <mergeCell ref="I121:J121"/>
    <mergeCell ref="I122:J122"/>
    <mergeCell ref="I123:J123"/>
    <mergeCell ref="I124:J124"/>
    <mergeCell ref="I125:J125"/>
    <mergeCell ref="I126:J126"/>
    <mergeCell ref="I127:J127"/>
    <mergeCell ref="I128:J128"/>
    <mergeCell ref="I129:J129"/>
    <mergeCell ref="I130:J130"/>
    <mergeCell ref="I131:J131"/>
    <mergeCell ref="I132:J132"/>
    <mergeCell ref="I133:J133"/>
    <mergeCell ref="I134:J134"/>
    <mergeCell ref="I135:J135"/>
    <mergeCell ref="I136:J136"/>
    <mergeCell ref="I137:J137"/>
    <mergeCell ref="I138:J138"/>
    <mergeCell ref="I139:J139"/>
    <mergeCell ref="I140:J140"/>
    <mergeCell ref="I141:J141"/>
    <mergeCell ref="I142:J142"/>
    <mergeCell ref="I143:J143"/>
    <mergeCell ref="I144:J144"/>
    <mergeCell ref="I145:J145"/>
    <mergeCell ref="I146:J146"/>
    <mergeCell ref="I147:J147"/>
    <mergeCell ref="I148:J148"/>
    <mergeCell ref="I149:J149"/>
    <mergeCell ref="I150:J150"/>
    <mergeCell ref="A151:F151"/>
    <mergeCell ref="I151:J151"/>
    <mergeCell ref="A178:J178"/>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quang.vo</dc:creator>
  <cp:lastModifiedBy>Võ Như Minh Quang</cp:lastModifiedBy>
  <dcterms:created xsi:type="dcterms:W3CDTF">2026-05-10T10:04:12Z</dcterms:created>
  <dcterms:modified xsi:type="dcterms:W3CDTF">2026-05-10T10:05:13Z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59EC2331E7D844D6A091568FF5B28EFD_11</vt:lpwstr>
  </property>
  <property fmtid="{D5CDD505-2E9C-101B-9397-08002B2CF9AE}" pid="3" name="KSOProductBuildVer">
    <vt:lpwstr>1033-12.1.0.25862</vt:lpwstr>
  </property>
  <property fmtid="{D5CDD505-2E9C-101B-9397-08002B2CF9AE}" pid="4" name="CalculationRule">
    <vt:i4>1</vt:i4>
  </property>
</Properties>
</file>