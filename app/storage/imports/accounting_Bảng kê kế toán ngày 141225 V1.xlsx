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4-12\"/>
    </mc:Choice>
  </mc:AlternateContent>
  <xr:revisionPtr revIDLastSave="0" documentId="13_ncr:1_{4110CA41-AC25-4319-B408-F0787F8FF738}" xr6:coauthVersionLast="47" xr6:coauthVersionMax="47" xr10:uidLastSave="{00000000-0000-0000-0000-000000000000}"/>
  <bookViews>
    <workbookView xWindow="-120" yWindow="-120" windowWidth="29040" windowHeight="15840" xr2:uid="{C34305EE-9E9A-414F-BD6C-B455E887229A}"/>
  </bookViews>
  <sheets>
    <sheet name="14.1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34" i="1"/>
  <c r="G45" i="1"/>
  <c r="G56" i="1" s="1"/>
  <c r="E45" i="1"/>
  <c r="D45" i="1"/>
  <c r="C45" i="1"/>
  <c r="B45" i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F34" i="1"/>
  <c r="F33" i="1"/>
  <c r="H33" i="1" s="1"/>
  <c r="F32" i="1"/>
  <c r="H32" i="1" s="1"/>
  <c r="F31" i="1"/>
  <c r="H31" i="1" s="1"/>
  <c r="G30" i="1"/>
  <c r="F30" i="1"/>
  <c r="H30" i="1" s="1"/>
  <c r="H29" i="1"/>
  <c r="F29" i="1"/>
  <c r="F28" i="1"/>
  <c r="H28" i="1" s="1"/>
  <c r="F27" i="1"/>
  <c r="H27" i="1" s="1"/>
  <c r="H26" i="1"/>
  <c r="F26" i="1"/>
  <c r="F25" i="1"/>
  <c r="H25" i="1" s="1"/>
  <c r="F24" i="1"/>
  <c r="H24" i="1" s="1"/>
  <c r="H23" i="1"/>
  <c r="F23" i="1"/>
  <c r="F22" i="1"/>
  <c r="H22" i="1" s="1"/>
  <c r="F21" i="1"/>
  <c r="H21" i="1" s="1"/>
  <c r="H20" i="1"/>
  <c r="F20" i="1"/>
  <c r="F19" i="1"/>
  <c r="H19" i="1" s="1"/>
  <c r="F18" i="1"/>
  <c r="H18" i="1" s="1"/>
  <c r="H17" i="1"/>
  <c r="F17" i="1"/>
  <c r="F16" i="1"/>
  <c r="H16" i="1" s="1"/>
  <c r="F15" i="1"/>
  <c r="H15" i="1" s="1"/>
  <c r="H14" i="1"/>
  <c r="F14" i="1"/>
  <c r="F13" i="1"/>
  <c r="H13" i="1" s="1"/>
  <c r="F12" i="1"/>
  <c r="H12" i="1" s="1"/>
  <c r="H11" i="1"/>
  <c r="F11" i="1"/>
  <c r="F10" i="1"/>
  <c r="H10" i="1" s="1"/>
  <c r="F9" i="1"/>
  <c r="H9" i="1" s="1"/>
  <c r="H8" i="1"/>
  <c r="F8" i="1"/>
  <c r="F7" i="1"/>
  <c r="H7" i="1" s="1"/>
  <c r="F6" i="1"/>
  <c r="H6" i="1" s="1"/>
  <c r="H5" i="1"/>
  <c r="F5" i="1"/>
  <c r="F4" i="1"/>
  <c r="H4" i="1" s="1"/>
  <c r="H45" i="1" l="1"/>
  <c r="F45" i="1"/>
</calcChain>
</file>

<file path=xl/sharedStrings.xml><?xml version="1.0" encoding="utf-8"?>
<sst xmlns="http://schemas.openxmlformats.org/spreadsheetml/2006/main" count="63" uniqueCount="63">
  <si>
    <t>THEO DÕI THU TIỀN NGÀY 14/12/25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</si>
  <si>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</si>
  <si>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</si>
  <si>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</si>
  <si>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</si>
  <si>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</si>
  <si>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</si>
  <si>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</si>
  <si>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</si>
  <si>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</si>
  <si>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10226-BYAM</t>
  </si>
  <si>
    <t>10244-Nguyễn Thị Thanh Nhã</t>
  </si>
  <si>
    <t>10285-Trần Thị Thanh Mai</t>
  </si>
  <si>
    <t>10294-Lê Thị Hồng Nhung</t>
  </si>
  <si>
    <t>10309-Phạm Thị Hằng</t>
  </si>
  <si>
    <t>107-Nguyễn Ngọc Nhi</t>
  </si>
  <si>
    <t>120-Nguyễn Thị Quyên</t>
  </si>
  <si>
    <t>122-Nguyễn Thị Tường Vi</t>
  </si>
  <si>
    <t>167-Nguyễn Thị Kim Tuyền</t>
  </si>
  <si>
    <t>169-Đoàn Thị Ánh Nguyệt</t>
  </si>
  <si>
    <t>219-Lê Thị Thu Hà</t>
  </si>
  <si>
    <t>227-Đặng Thị Thu Thảo</t>
  </si>
  <si>
    <t>Sửa HSBA KHEN PHOSY chênh lệch giảm 110.000 - chưa hoàn tiền BN</t>
  </si>
  <si>
    <t>239-Trương Thị Mỹ Dung</t>
  </si>
  <si>
    <t>292-Trần Thị Phương Thảo</t>
  </si>
  <si>
    <t>298-Vũ Thị Bông</t>
  </si>
  <si>
    <t>302-Nguyễn Thị Thu Thảo</t>
  </si>
  <si>
    <t>BN Phạm Hùng Thái khoa Nội TH-TM ra viện tạm ứng dư, kế toán đã chi hoàn ngày 16/12</t>
  </si>
  <si>
    <t>360-Dương Thị Hương</t>
  </si>
  <si>
    <t>374-Trương Thị Quỳnh Anh</t>
  </si>
  <si>
    <t>482-Phạm Thị Thu Hương</t>
  </si>
  <si>
    <t>504-Vũ Thị Bích Ngọc</t>
  </si>
  <si>
    <t>51-Nguyễn Thị Thảo</t>
  </si>
  <si>
    <t>626-Nguyễn Thị Thu Hương</t>
  </si>
  <si>
    <t>636-Nguyễn Thị Quệ</t>
  </si>
  <si>
    <t>641-Nguyễn Hải Anh</t>
  </si>
  <si>
    <t>648-Lê Thị Chinh</t>
  </si>
  <si>
    <t>696-Nguyễn Thị Kim Thơ</t>
  </si>
  <si>
    <t>707-Hoàng Thị Thanh Huyền</t>
  </si>
  <si>
    <t>710-Hà Thúy Viên</t>
  </si>
  <si>
    <t>723-Nguyễn Thị Thu Trang</t>
  </si>
  <si>
    <t>72-Hồ Sỹ Tĩnh</t>
  </si>
  <si>
    <t>735-Phạm Thị Bảo Hằng</t>
  </si>
  <si>
    <t>73-Nguyễn Hoàng Luân</t>
  </si>
  <si>
    <t>74-Đoàn Thị Hiếu</t>
  </si>
  <si>
    <t>753-Phạm Hồng Điểm</t>
  </si>
  <si>
    <t>82-Lê Thị Minh Phượng</t>
  </si>
  <si>
    <t>92-Nguyễn Thị Thu Thủy</t>
  </si>
  <si>
    <t>94-Trần Thị Trúc</t>
  </si>
  <si>
    <t>95-Đặng Ngọc Diễm Thy</t>
  </si>
  <si>
    <t>Trần Thị Thanh Mai</t>
  </si>
  <si>
    <t>A121 ngày 13/12</t>
  </si>
  <si>
    <t>Tổng</t>
  </si>
  <si>
    <t>Tiền thu căntin</t>
  </si>
  <si>
    <t>Tiền thu tiêm chủng</t>
  </si>
  <si>
    <t>Tiền thu da liễu</t>
  </si>
  <si>
    <t>Tiền thu nhà xe</t>
  </si>
  <si>
    <t xml:space="preserve"> </t>
  </si>
  <si>
    <t>Tiền thu nhà thuốc</t>
  </si>
  <si>
    <t>Tiền thu HSBA</t>
  </si>
  <si>
    <t>Tiền thu ứng nhân viên</t>
  </si>
  <si>
    <t>TỔNG THU 14/12</t>
  </si>
  <si>
    <t xml:space="preserve">CK là đúng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</si>
</sst>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vertical="center" wrapText="1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165" fontId="5" fillId="3" borderId="2" xfId="1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vertical="center" wrapText="1"/>
    </xf>
    <xf numFmtId="166" fontId="5" fillId="3" borderId="2" xfId="1" applyNumberFormat="1" applyFont="1" applyFill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5" fontId="5" fillId="3" borderId="1" xfId="1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QUYNH%20NHU%202025/10.%20MINH%20LO/BC%20THU%20CHI/Thang%2012/141225.xlsx" TargetMode="External"/><Relationship Id="rId2" Type="http://schemas.openxmlformats.org/officeDocument/2006/relationships/externalLinkPath" Target="file:///D:\QUYNH%20NHU%202025\10.%20MINH%20LO\BC%20THU%20CHI\Thang%2012\141225.xlsx" TargetMode="External"/><Relationship Id="rId1" Type="http://schemas.openxmlformats.org/officeDocument/2006/relationships/externalLinkPath" Target="/QUYNH%20NHU%202025/10.%20MINH%20LO/BC%20THU%20CHI/Thang%2012/14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1"/>
      <sheetName val="Sheet1"/>
    </sheetNames>
    <sheetDataSet>
      <sheetData sheetId="0">
        <row r="688">
          <cell r="U688">
            <v>7000000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574B-9B21-4CF8-8D75-B5CEB4C4E35F}">
  <sheetPr>
    <pageSetUpPr fitToPage="1"/>
  </sheetPr>
  <dimension ref="A1:I56"/>
  <sheetViews>
    <sheetView tabSelected="1" topLeftCell="A20" workbookViewId="0">
      <selection activeCell="H49" sqref="H49"/>
    </sheetView>
  </sheetViews>
  <sheetFormatPr defaultRowHeight="15.75" x14ac:dyDescent="0.25"/>
  <cols>
    <col min="1" max="1" width="28.125" style="1" customWidth="1"/>
    <col min="2" max="2" width="14.25" style="1" customWidth="1"/>
    <col min="3" max="5" width="14.25" style="1" hidden="1" customWidth="1"/>
    <col min="6" max="8" width="14.25" style="1" customWidth="1"/>
    <col min="9" max="9" width="36" style="1" customWidth="1"/>
    <col min="10" max="16384" width="9" style="1"/>
  </cols>
  <sheetData>
    <row r="1" spans="1: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66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16.5" x14ac:dyDescent="0.25">
      <c r="A4" s="10" t="s">
        <v>9</v>
      </c>
      <c r="B4" s="11">
        <v>47189545.689999998</v>
      </c>
      <c r="C4" s="12">
        <v>1200000</v>
      </c>
      <c r="D4" s="12">
        <v>19652552.390000001</v>
      </c>
      <c r="E4" s="13">
        <v>0</v>
      </c>
      <c r="F4" s="12">
        <f>+C4+D4+E4</f>
        <v>20852552.390000001</v>
      </c>
      <c r="G4" s="14">
        <v>26336000</v>
      </c>
      <c r="H4" s="14">
        <f>+B4-F4-G4</f>
        <v>993.29999999701977</v>
      </c>
      <c r="I4" s="15"/>
    </row>
    <row r="5" spans="1:9" ht="16.5" x14ac:dyDescent="0.25">
      <c r="A5" s="10" t="s">
        <v>10</v>
      </c>
      <c r="B5" s="13">
        <v>10700605.050000001</v>
      </c>
      <c r="C5" s="12">
        <v>0</v>
      </c>
      <c r="D5" s="12">
        <v>3000000</v>
      </c>
      <c r="E5" s="13">
        <v>0</v>
      </c>
      <c r="F5" s="12">
        <f t="shared" ref="F5:F44" si="0">+C5+D5+E5</f>
        <v>3000000</v>
      </c>
      <c r="G5" s="14">
        <v>7700000</v>
      </c>
      <c r="H5" s="14">
        <f t="shared" ref="H5:H44" si="1">+B5-F5-G5</f>
        <v>605.05000000074506</v>
      </c>
      <c r="I5" s="15"/>
    </row>
    <row r="6" spans="1:9" ht="16.5" x14ac:dyDescent="0.25">
      <c r="A6" s="10" t="s">
        <v>11</v>
      </c>
      <c r="B6" s="13">
        <v>300000</v>
      </c>
      <c r="C6" s="12">
        <v>300000</v>
      </c>
      <c r="D6" s="12">
        <v>0</v>
      </c>
      <c r="E6" s="13">
        <v>0</v>
      </c>
      <c r="F6" s="12">
        <f t="shared" si="0"/>
        <v>300000</v>
      </c>
      <c r="G6" s="14"/>
      <c r="H6" s="14">
        <f t="shared" si="1"/>
        <v>0</v>
      </c>
      <c r="I6" s="12"/>
    </row>
    <row r="7" spans="1:9" ht="16.5" x14ac:dyDescent="0.25">
      <c r="A7" s="16" t="s">
        <v>12</v>
      </c>
      <c r="B7" s="17">
        <v>24510787.77</v>
      </c>
      <c r="C7" s="18">
        <v>0</v>
      </c>
      <c r="D7" s="18">
        <v>11030598.550000001</v>
      </c>
      <c r="E7" s="17">
        <v>0</v>
      </c>
      <c r="F7" s="12">
        <f t="shared" si="0"/>
        <v>11030598.550000001</v>
      </c>
      <c r="G7" s="19">
        <v>13480000</v>
      </c>
      <c r="H7" s="14">
        <f t="shared" si="1"/>
        <v>189.21999999880791</v>
      </c>
      <c r="I7" s="12"/>
    </row>
    <row r="8" spans="1:9" ht="16.5" x14ac:dyDescent="0.25">
      <c r="A8" s="10" t="s">
        <v>13</v>
      </c>
      <c r="B8" s="13">
        <v>2000000</v>
      </c>
      <c r="C8" s="12">
        <v>0</v>
      </c>
      <c r="D8" s="12">
        <v>450000</v>
      </c>
      <c r="E8" s="13">
        <v>0</v>
      </c>
      <c r="F8" s="12">
        <f t="shared" si="0"/>
        <v>450000</v>
      </c>
      <c r="G8" s="14">
        <v>1550000</v>
      </c>
      <c r="H8" s="14">
        <f t="shared" si="1"/>
        <v>0</v>
      </c>
      <c r="I8" s="12"/>
    </row>
    <row r="9" spans="1:9" ht="16.5" x14ac:dyDescent="0.25">
      <c r="A9" s="10" t="s">
        <v>14</v>
      </c>
      <c r="B9" s="13">
        <v>2560000</v>
      </c>
      <c r="C9" s="12">
        <v>0</v>
      </c>
      <c r="D9" s="12">
        <v>480000</v>
      </c>
      <c r="E9" s="13">
        <v>0</v>
      </c>
      <c r="F9" s="12">
        <f t="shared" si="0"/>
        <v>480000</v>
      </c>
      <c r="G9" s="14">
        <v>2080000</v>
      </c>
      <c r="H9" s="14">
        <f t="shared" si="1"/>
        <v>0</v>
      </c>
      <c r="I9" s="15"/>
    </row>
    <row r="10" spans="1:9" ht="16.5" x14ac:dyDescent="0.25">
      <c r="A10" s="10" t="s">
        <v>15</v>
      </c>
      <c r="B10" s="13">
        <v>16897751.559999999</v>
      </c>
      <c r="C10" s="12">
        <v>0</v>
      </c>
      <c r="D10" s="12">
        <v>5520643.6600000001</v>
      </c>
      <c r="E10" s="13">
        <v>0</v>
      </c>
      <c r="F10" s="12">
        <f t="shared" si="0"/>
        <v>5520643.6600000001</v>
      </c>
      <c r="G10" s="14">
        <v>11377000</v>
      </c>
      <c r="H10" s="14">
        <f t="shared" si="1"/>
        <v>107.89999999850988</v>
      </c>
      <c r="I10" s="12"/>
    </row>
    <row r="11" spans="1:9" ht="16.5" x14ac:dyDescent="0.25">
      <c r="A11" s="10" t="s">
        <v>16</v>
      </c>
      <c r="B11" s="13">
        <v>5155418.88</v>
      </c>
      <c r="C11" s="12">
        <v>15192.98</v>
      </c>
      <c r="D11" s="12">
        <v>1772581.9</v>
      </c>
      <c r="E11" s="13">
        <v>0</v>
      </c>
      <c r="F11" s="12">
        <f t="shared" si="0"/>
        <v>1787774.88</v>
      </c>
      <c r="G11" s="14">
        <v>3367000</v>
      </c>
      <c r="H11" s="14">
        <f t="shared" si="1"/>
        <v>644</v>
      </c>
      <c r="I11" s="12"/>
    </row>
    <row r="12" spans="1:9" ht="16.5" x14ac:dyDescent="0.25">
      <c r="A12" s="16" t="s">
        <v>17</v>
      </c>
      <c r="B12" s="17">
        <v>35587783.859999999</v>
      </c>
      <c r="C12" s="18">
        <v>0</v>
      </c>
      <c r="D12" s="18">
        <v>13912219.720000001</v>
      </c>
      <c r="E12" s="17">
        <v>0</v>
      </c>
      <c r="F12" s="12">
        <f t="shared" si="0"/>
        <v>13912219.720000001</v>
      </c>
      <c r="G12" s="19">
        <v>21675000</v>
      </c>
      <c r="H12" s="14">
        <f t="shared" si="1"/>
        <v>564.14000000059605</v>
      </c>
      <c r="I12" s="12"/>
    </row>
    <row r="13" spans="1:9" ht="16.5" x14ac:dyDescent="0.25">
      <c r="A13" s="10" t="s">
        <v>18</v>
      </c>
      <c r="B13" s="13">
        <v>6248873.6900000004</v>
      </c>
      <c r="C13" s="12">
        <v>2000000</v>
      </c>
      <c r="D13" s="12">
        <v>2248873.69</v>
      </c>
      <c r="E13" s="13">
        <v>0</v>
      </c>
      <c r="F13" s="12">
        <f t="shared" si="0"/>
        <v>4248873.6899999995</v>
      </c>
      <c r="G13" s="14">
        <v>2000000</v>
      </c>
      <c r="H13" s="14">
        <f t="shared" si="1"/>
        <v>0</v>
      </c>
      <c r="I13" s="12"/>
    </row>
    <row r="14" spans="1:9" ht="16.5" x14ac:dyDescent="0.25">
      <c r="A14" s="10" t="s">
        <v>19</v>
      </c>
      <c r="B14" s="13">
        <v>14351200.08</v>
      </c>
      <c r="C14" s="12">
        <v>0</v>
      </c>
      <c r="D14" s="12">
        <v>4213759.45</v>
      </c>
      <c r="E14" s="13">
        <v>0</v>
      </c>
      <c r="F14" s="12">
        <f t="shared" si="0"/>
        <v>4213759.45</v>
      </c>
      <c r="G14" s="14">
        <v>10137000</v>
      </c>
      <c r="H14" s="14">
        <f t="shared" si="1"/>
        <v>440.62999999895692</v>
      </c>
      <c r="I14" s="15"/>
    </row>
    <row r="15" spans="1:9" ht="16.5" x14ac:dyDescent="0.25">
      <c r="A15" s="10" t="s">
        <v>20</v>
      </c>
      <c r="B15" s="13">
        <v>2873509.21</v>
      </c>
      <c r="C15" s="12">
        <v>0</v>
      </c>
      <c r="D15" s="12">
        <v>732606.84</v>
      </c>
      <c r="E15" s="13">
        <v>0</v>
      </c>
      <c r="F15" s="12">
        <f t="shared" si="0"/>
        <v>732606.84</v>
      </c>
      <c r="G15" s="14">
        <v>2141000</v>
      </c>
      <c r="H15" s="14">
        <f t="shared" si="1"/>
        <v>-97.629999999888241</v>
      </c>
      <c r="I15" s="12"/>
    </row>
    <row r="16" spans="1:9" ht="33" x14ac:dyDescent="0.25">
      <c r="A16" s="10" t="s">
        <v>21</v>
      </c>
      <c r="B16" s="13">
        <v>-110000</v>
      </c>
      <c r="C16" s="12">
        <v>0</v>
      </c>
      <c r="D16" s="12">
        <v>0</v>
      </c>
      <c r="E16" s="13">
        <v>0</v>
      </c>
      <c r="F16" s="12">
        <f t="shared" si="0"/>
        <v>0</v>
      </c>
      <c r="G16" s="14"/>
      <c r="H16" s="14">
        <f t="shared" si="1"/>
        <v>-110000</v>
      </c>
      <c r="I16" s="20" t="s">
        <v>22</v>
      </c>
    </row>
    <row r="17" spans="1:9" ht="16.5" x14ac:dyDescent="0.25">
      <c r="A17" s="16" t="s">
        <v>23</v>
      </c>
      <c r="B17" s="17">
        <v>21540765.93</v>
      </c>
      <c r="C17" s="18">
        <v>0</v>
      </c>
      <c r="D17" s="18">
        <v>10000000</v>
      </c>
      <c r="E17" s="17">
        <v>0</v>
      </c>
      <c r="F17" s="12">
        <f t="shared" si="0"/>
        <v>10000000</v>
      </c>
      <c r="G17" s="19">
        <v>11540000</v>
      </c>
      <c r="H17" s="14">
        <f t="shared" si="1"/>
        <v>765.92999999970198</v>
      </c>
      <c r="I17" s="12"/>
    </row>
    <row r="18" spans="1:9" ht="16.5" x14ac:dyDescent="0.25">
      <c r="A18" s="10" t="s">
        <v>24</v>
      </c>
      <c r="B18" s="13">
        <v>12609489.5</v>
      </c>
      <c r="C18" s="12">
        <v>0</v>
      </c>
      <c r="D18" s="12">
        <v>1126623.31</v>
      </c>
      <c r="E18" s="13">
        <v>0</v>
      </c>
      <c r="F18" s="12">
        <f t="shared" si="0"/>
        <v>1126623.31</v>
      </c>
      <c r="G18" s="14">
        <v>11483000</v>
      </c>
      <c r="H18" s="14">
        <f t="shared" si="1"/>
        <v>-133.81000000052154</v>
      </c>
      <c r="I18" s="12"/>
    </row>
    <row r="19" spans="1:9" ht="16.5" x14ac:dyDescent="0.25">
      <c r="A19" s="10" t="s">
        <v>25</v>
      </c>
      <c r="B19" s="13">
        <v>5176195.01</v>
      </c>
      <c r="C19" s="12">
        <v>0</v>
      </c>
      <c r="D19" s="12">
        <v>791123.52</v>
      </c>
      <c r="E19" s="13">
        <v>0</v>
      </c>
      <c r="F19" s="12">
        <f t="shared" si="0"/>
        <v>791123.52</v>
      </c>
      <c r="G19" s="14">
        <v>4385000</v>
      </c>
      <c r="H19" s="14">
        <f t="shared" si="1"/>
        <v>71.490000000223517</v>
      </c>
      <c r="I19" s="15"/>
    </row>
    <row r="20" spans="1:9" ht="49.5" x14ac:dyDescent="0.25">
      <c r="A20" s="10" t="s">
        <v>26</v>
      </c>
      <c r="B20" s="13">
        <v>26303629.390000001</v>
      </c>
      <c r="C20" s="12">
        <v>0</v>
      </c>
      <c r="D20" s="12">
        <v>11962429.08</v>
      </c>
      <c r="E20" s="13">
        <v>0</v>
      </c>
      <c r="F20" s="12">
        <f t="shared" si="0"/>
        <v>11962429.08</v>
      </c>
      <c r="G20" s="14">
        <v>15183000</v>
      </c>
      <c r="H20" s="14">
        <f t="shared" si="1"/>
        <v>-841799.68999999948</v>
      </c>
      <c r="I20" s="15" t="s">
        <v>27</v>
      </c>
    </row>
    <row r="21" spans="1:9" ht="16.5" x14ac:dyDescent="0.25">
      <c r="A21" s="10" t="s">
        <v>28</v>
      </c>
      <c r="B21" s="13">
        <v>14147232.029999999</v>
      </c>
      <c r="C21" s="12">
        <v>609341</v>
      </c>
      <c r="D21" s="12">
        <v>1305606.45</v>
      </c>
      <c r="E21" s="13">
        <v>0</v>
      </c>
      <c r="F21" s="12">
        <f t="shared" si="0"/>
        <v>1914947.45</v>
      </c>
      <c r="G21" s="14">
        <v>12232000</v>
      </c>
      <c r="H21" s="14">
        <f t="shared" si="1"/>
        <v>284.58000000007451</v>
      </c>
      <c r="I21" s="15"/>
    </row>
    <row r="22" spans="1:9" ht="16.5" x14ac:dyDescent="0.25">
      <c r="A22" s="10" t="s">
        <v>29</v>
      </c>
      <c r="B22" s="13">
        <v>17000000</v>
      </c>
      <c r="C22" s="12">
        <v>0</v>
      </c>
      <c r="D22" s="12">
        <v>17000000</v>
      </c>
      <c r="E22" s="13">
        <v>0</v>
      </c>
      <c r="F22" s="12">
        <f t="shared" si="0"/>
        <v>17000000</v>
      </c>
      <c r="G22" s="14"/>
      <c r="H22" s="14">
        <f t="shared" si="1"/>
        <v>0</v>
      </c>
      <c r="I22" s="12"/>
    </row>
    <row r="23" spans="1:9" ht="16.5" x14ac:dyDescent="0.25">
      <c r="A23" s="10" t="s">
        <v>30</v>
      </c>
      <c r="B23" s="13">
        <v>13196918.18</v>
      </c>
      <c r="C23" s="12">
        <v>4500000</v>
      </c>
      <c r="D23" s="12">
        <v>4611919.5599999996</v>
      </c>
      <c r="E23" s="13">
        <v>0</v>
      </c>
      <c r="F23" s="12">
        <f t="shared" si="0"/>
        <v>9111919.5599999987</v>
      </c>
      <c r="G23" s="14">
        <v>4084000</v>
      </c>
      <c r="H23" s="14">
        <f t="shared" si="1"/>
        <v>998.62000000104308</v>
      </c>
      <c r="I23" s="15"/>
    </row>
    <row r="24" spans="1:9" ht="16.5" x14ac:dyDescent="0.25">
      <c r="A24" s="10" t="s">
        <v>31</v>
      </c>
      <c r="B24" s="13">
        <v>32772385.510000002</v>
      </c>
      <c r="C24" s="12">
        <v>0</v>
      </c>
      <c r="D24" s="12">
        <v>21432161.239999998</v>
      </c>
      <c r="E24" s="13">
        <v>0</v>
      </c>
      <c r="F24" s="12">
        <f t="shared" si="0"/>
        <v>21432161.239999998</v>
      </c>
      <c r="G24" s="14">
        <v>11340000</v>
      </c>
      <c r="H24" s="14">
        <f t="shared" si="1"/>
        <v>224.27000000327826</v>
      </c>
      <c r="I24" s="15"/>
    </row>
    <row r="25" spans="1:9" ht="16.5" x14ac:dyDescent="0.25">
      <c r="A25" s="10" t="s">
        <v>32</v>
      </c>
      <c r="B25" s="13">
        <v>97919017.079999998</v>
      </c>
      <c r="C25" s="12">
        <v>0</v>
      </c>
      <c r="D25" s="12">
        <v>75868456.629999995</v>
      </c>
      <c r="E25" s="13">
        <v>0</v>
      </c>
      <c r="F25" s="12">
        <f t="shared" si="0"/>
        <v>75868456.629999995</v>
      </c>
      <c r="G25" s="14">
        <v>22050000</v>
      </c>
      <c r="H25" s="14">
        <f t="shared" si="1"/>
        <v>560.45000000298023</v>
      </c>
      <c r="I25" s="15"/>
    </row>
    <row r="26" spans="1:9" ht="16.5" x14ac:dyDescent="0.25">
      <c r="A26" s="10" t="s">
        <v>33</v>
      </c>
      <c r="B26" s="13">
        <v>10000000</v>
      </c>
      <c r="C26" s="12">
        <v>0</v>
      </c>
      <c r="D26" s="12">
        <v>10000000</v>
      </c>
      <c r="E26" s="13">
        <v>0</v>
      </c>
      <c r="F26" s="12">
        <f t="shared" si="0"/>
        <v>10000000</v>
      </c>
      <c r="G26" s="14"/>
      <c r="H26" s="14">
        <f t="shared" si="1"/>
        <v>0</v>
      </c>
      <c r="I26" s="12"/>
    </row>
    <row r="27" spans="1:9" s="36" customFormat="1" ht="16.5" x14ac:dyDescent="0.25">
      <c r="A27" s="30" t="s">
        <v>34</v>
      </c>
      <c r="B27" s="31">
        <v>8000000</v>
      </c>
      <c r="C27" s="32">
        <v>1000000</v>
      </c>
      <c r="D27" s="32">
        <v>0</v>
      </c>
      <c r="E27" s="31">
        <v>0</v>
      </c>
      <c r="F27" s="33">
        <f>+C27+D27+E27+'[1]Sheet 1'!U688</f>
        <v>8000000</v>
      </c>
      <c r="G27" s="34"/>
      <c r="H27" s="35">
        <f t="shared" si="1"/>
        <v>0</v>
      </c>
      <c r="I27" s="33" t="s">
        <v>62</v>
      </c>
    </row>
    <row r="28" spans="1:9" ht="16.5" x14ac:dyDescent="0.25">
      <c r="A28" s="10" t="s">
        <v>35</v>
      </c>
      <c r="B28" s="13">
        <v>12263931.640000001</v>
      </c>
      <c r="C28" s="12">
        <v>0</v>
      </c>
      <c r="D28" s="12">
        <v>2357066.2999999998</v>
      </c>
      <c r="E28" s="13">
        <v>0</v>
      </c>
      <c r="F28" s="12">
        <f t="shared" si="0"/>
        <v>2357066.2999999998</v>
      </c>
      <c r="G28" s="14">
        <v>9906000</v>
      </c>
      <c r="H28" s="14">
        <f t="shared" si="1"/>
        <v>865.33999999985099</v>
      </c>
      <c r="I28" s="12"/>
    </row>
    <row r="29" spans="1:9" ht="16.5" x14ac:dyDescent="0.25">
      <c r="A29" s="10" t="s">
        <v>36</v>
      </c>
      <c r="B29" s="13">
        <v>18099057.129999999</v>
      </c>
      <c r="C29" s="12">
        <v>0</v>
      </c>
      <c r="D29" s="12">
        <v>9200037.6300000008</v>
      </c>
      <c r="E29" s="13">
        <v>0</v>
      </c>
      <c r="F29" s="12">
        <f t="shared" si="0"/>
        <v>9200037.6300000008</v>
      </c>
      <c r="G29" s="14">
        <v>8899000</v>
      </c>
      <c r="H29" s="14">
        <f t="shared" si="1"/>
        <v>19.499999998137355</v>
      </c>
      <c r="I29" s="15"/>
    </row>
    <row r="30" spans="1:9" ht="16.5" x14ac:dyDescent="0.25">
      <c r="A30" s="10" t="s">
        <v>37</v>
      </c>
      <c r="B30" s="13">
        <v>64269322.979999997</v>
      </c>
      <c r="C30" s="12">
        <v>0</v>
      </c>
      <c r="D30" s="12">
        <v>14054629.050000001</v>
      </c>
      <c r="E30" s="13">
        <v>0</v>
      </c>
      <c r="F30" s="12">
        <f t="shared" si="0"/>
        <v>14054629.050000001</v>
      </c>
      <c r="G30" s="14">
        <f>48715000+1500000</f>
        <v>50215000</v>
      </c>
      <c r="H30" s="14">
        <f t="shared" si="1"/>
        <v>-306.0700000077486</v>
      </c>
      <c r="I30" s="12"/>
    </row>
    <row r="31" spans="1:9" ht="16.5" x14ac:dyDescent="0.25">
      <c r="A31" s="16" t="s">
        <v>38</v>
      </c>
      <c r="B31" s="17">
        <v>5280000</v>
      </c>
      <c r="C31" s="18">
        <v>5280000</v>
      </c>
      <c r="D31" s="18">
        <v>0</v>
      </c>
      <c r="E31" s="17">
        <v>0</v>
      </c>
      <c r="F31" s="12">
        <f t="shared" si="0"/>
        <v>5280000</v>
      </c>
      <c r="G31" s="19"/>
      <c r="H31" s="14">
        <f t="shared" si="1"/>
        <v>0</v>
      </c>
      <c r="I31" s="12"/>
    </row>
    <row r="32" spans="1:9" ht="16.5" x14ac:dyDescent="0.25">
      <c r="A32" s="10" t="s">
        <v>39</v>
      </c>
      <c r="B32" s="13">
        <v>13931986.039999999</v>
      </c>
      <c r="C32" s="12">
        <v>0</v>
      </c>
      <c r="D32" s="12">
        <v>4198182.28</v>
      </c>
      <c r="E32" s="13">
        <v>0</v>
      </c>
      <c r="F32" s="12">
        <f t="shared" si="0"/>
        <v>4198182.28</v>
      </c>
      <c r="G32" s="14">
        <v>9734000</v>
      </c>
      <c r="H32" s="14">
        <f t="shared" si="1"/>
        <v>-196.24000000208616</v>
      </c>
      <c r="I32" s="12"/>
    </row>
    <row r="33" spans="1:9" ht="16.5" x14ac:dyDescent="0.25">
      <c r="A33" s="10" t="s">
        <v>40</v>
      </c>
      <c r="B33" s="13">
        <v>14950764.83</v>
      </c>
      <c r="C33" s="12">
        <v>0</v>
      </c>
      <c r="D33" s="12">
        <v>6993420.4800000004</v>
      </c>
      <c r="E33" s="13">
        <v>0</v>
      </c>
      <c r="F33" s="12">
        <f t="shared" si="0"/>
        <v>6993420.4800000004</v>
      </c>
      <c r="G33" s="14">
        <v>7957000</v>
      </c>
      <c r="H33" s="14">
        <f t="shared" si="1"/>
        <v>344.34999999962747</v>
      </c>
      <c r="I33" s="15"/>
    </row>
    <row r="34" spans="1:9" ht="16.5" x14ac:dyDescent="0.25">
      <c r="A34" s="10" t="s">
        <v>41</v>
      </c>
      <c r="B34" s="13">
        <v>66401751.799999997</v>
      </c>
      <c r="C34" s="12">
        <v>0</v>
      </c>
      <c r="D34" s="12">
        <v>21736273.859999999</v>
      </c>
      <c r="E34" s="13">
        <v>0</v>
      </c>
      <c r="F34" s="12">
        <f t="shared" si="0"/>
        <v>21736273.859999999</v>
      </c>
      <c r="G34" s="14">
        <v>44665000</v>
      </c>
      <c r="H34" s="14">
        <f>+B34-F34-G34</f>
        <v>477.93999999761581</v>
      </c>
      <c r="I34" s="12"/>
    </row>
    <row r="35" spans="1:9" s="36" customFormat="1" ht="16.5" x14ac:dyDescent="0.25">
      <c r="A35" s="37" t="s">
        <v>42</v>
      </c>
      <c r="B35" s="38">
        <v>22779610.469999999</v>
      </c>
      <c r="C35" s="33"/>
      <c r="D35" s="33">
        <v>24015075.039999999</v>
      </c>
      <c r="E35" s="38">
        <v>0</v>
      </c>
      <c r="F35" s="33">
        <f t="shared" si="0"/>
        <v>24015075.039999999</v>
      </c>
      <c r="G35" s="35"/>
      <c r="H35" s="14">
        <f>+B35-F35-G35</f>
        <v>-1235464.5700000003</v>
      </c>
      <c r="I35" s="33"/>
    </row>
    <row r="36" spans="1:9" ht="16.5" x14ac:dyDescent="0.25">
      <c r="A36" s="16" t="s">
        <v>43</v>
      </c>
      <c r="B36" s="17">
        <v>5099231.2300000004</v>
      </c>
      <c r="C36" s="18">
        <v>2000000</v>
      </c>
      <c r="D36" s="18">
        <v>1069085.54</v>
      </c>
      <c r="E36" s="17">
        <v>0</v>
      </c>
      <c r="F36" s="12">
        <f t="shared" si="0"/>
        <v>3069085.54</v>
      </c>
      <c r="G36" s="19">
        <v>2030000</v>
      </c>
      <c r="H36" s="14">
        <f t="shared" si="1"/>
        <v>145.69000000040978</v>
      </c>
      <c r="I36" s="12"/>
    </row>
    <row r="37" spans="1:9" ht="16.5" x14ac:dyDescent="0.25">
      <c r="A37" s="10" t="s">
        <v>44</v>
      </c>
      <c r="B37" s="13">
        <v>69294626.349999994</v>
      </c>
      <c r="C37" s="12">
        <v>0</v>
      </c>
      <c r="D37" s="12">
        <v>48000000</v>
      </c>
      <c r="E37" s="13">
        <v>0</v>
      </c>
      <c r="F37" s="12">
        <f t="shared" si="0"/>
        <v>48000000</v>
      </c>
      <c r="G37" s="14">
        <v>21294000</v>
      </c>
      <c r="H37" s="14">
        <f t="shared" si="1"/>
        <v>626.34999999403954</v>
      </c>
      <c r="I37" s="12"/>
    </row>
    <row r="38" spans="1:9" ht="16.5" x14ac:dyDescent="0.25">
      <c r="A38" s="10" t="s">
        <v>45</v>
      </c>
      <c r="B38" s="13">
        <v>5934400</v>
      </c>
      <c r="C38" s="12">
        <v>0</v>
      </c>
      <c r="D38" s="12">
        <v>3273400</v>
      </c>
      <c r="E38" s="13">
        <v>0</v>
      </c>
      <c r="F38" s="12">
        <f t="shared" si="0"/>
        <v>3273400</v>
      </c>
      <c r="G38" s="14">
        <v>2661000</v>
      </c>
      <c r="H38" s="14">
        <f t="shared" si="1"/>
        <v>0</v>
      </c>
      <c r="I38" s="12"/>
    </row>
    <row r="39" spans="1:9" ht="16.5" x14ac:dyDescent="0.25">
      <c r="A39" s="16" t="s">
        <v>46</v>
      </c>
      <c r="B39" s="17">
        <v>4807765.72</v>
      </c>
      <c r="C39" s="18">
        <v>0</v>
      </c>
      <c r="D39" s="18">
        <v>1556400</v>
      </c>
      <c r="E39" s="17">
        <v>0</v>
      </c>
      <c r="F39" s="12">
        <f t="shared" si="0"/>
        <v>1556400</v>
      </c>
      <c r="G39" s="19">
        <v>3252000</v>
      </c>
      <c r="H39" s="14">
        <f t="shared" si="1"/>
        <v>-634.28000000026077</v>
      </c>
      <c r="I39" s="12"/>
    </row>
    <row r="40" spans="1:9" ht="16.5" x14ac:dyDescent="0.25">
      <c r="A40" s="10" t="s">
        <v>47</v>
      </c>
      <c r="B40" s="13">
        <v>2935000</v>
      </c>
      <c r="C40" s="12">
        <v>1497000</v>
      </c>
      <c r="D40" s="12">
        <v>0</v>
      </c>
      <c r="E40" s="13">
        <v>0</v>
      </c>
      <c r="F40" s="12">
        <f t="shared" si="0"/>
        <v>1497000</v>
      </c>
      <c r="G40" s="14">
        <v>1438000</v>
      </c>
      <c r="H40" s="14">
        <f t="shared" si="1"/>
        <v>0</v>
      </c>
      <c r="I40" s="12"/>
    </row>
    <row r="41" spans="1:9" ht="16.5" x14ac:dyDescent="0.25">
      <c r="A41" s="10" t="s">
        <v>48</v>
      </c>
      <c r="B41" s="13">
        <v>148972713.16999999</v>
      </c>
      <c r="C41" s="12">
        <v>65000000</v>
      </c>
      <c r="D41" s="12">
        <v>0</v>
      </c>
      <c r="E41" s="13">
        <v>0</v>
      </c>
      <c r="F41" s="12">
        <f t="shared" si="0"/>
        <v>65000000</v>
      </c>
      <c r="G41" s="21">
        <v>83972000</v>
      </c>
      <c r="H41" s="14">
        <f t="shared" si="1"/>
        <v>713.16999998688698</v>
      </c>
      <c r="I41" s="15"/>
    </row>
    <row r="42" spans="1:9" ht="16.5" x14ac:dyDescent="0.25">
      <c r="A42" s="10" t="s">
        <v>49</v>
      </c>
      <c r="B42" s="13">
        <v>13291006.18</v>
      </c>
      <c r="C42" s="12">
        <v>0</v>
      </c>
      <c r="D42" s="12">
        <v>2127234.4</v>
      </c>
      <c r="E42" s="13">
        <v>0</v>
      </c>
      <c r="F42" s="12">
        <f t="shared" si="0"/>
        <v>2127234.4</v>
      </c>
      <c r="G42" s="14">
        <v>11164000</v>
      </c>
      <c r="H42" s="14">
        <f t="shared" si="1"/>
        <v>-228.22000000067055</v>
      </c>
      <c r="I42" s="12"/>
    </row>
    <row r="43" spans="1:9" ht="16.5" x14ac:dyDescent="0.25">
      <c r="A43" s="10" t="s">
        <v>50</v>
      </c>
      <c r="B43" s="13"/>
      <c r="C43" s="12"/>
      <c r="D43" s="12"/>
      <c r="E43" s="13"/>
      <c r="F43" s="12">
        <f t="shared" si="0"/>
        <v>0</v>
      </c>
      <c r="G43" s="14">
        <v>7629000</v>
      </c>
      <c r="H43" s="14">
        <f t="shared" si="1"/>
        <v>-7629000</v>
      </c>
      <c r="I43" s="12" t="s">
        <v>51</v>
      </c>
    </row>
    <row r="44" spans="1:9" ht="16.5" x14ac:dyDescent="0.25">
      <c r="A44" s="10"/>
      <c r="B44" s="13"/>
      <c r="C44" s="12"/>
      <c r="D44" s="12"/>
      <c r="E44" s="13"/>
      <c r="F44" s="12">
        <f t="shared" si="0"/>
        <v>0</v>
      </c>
      <c r="G44" s="14"/>
      <c r="H44" s="14">
        <f t="shared" si="1"/>
        <v>0</v>
      </c>
      <c r="I44" s="12"/>
    </row>
    <row r="45" spans="1:9" ht="16.5" x14ac:dyDescent="0.25">
      <c r="A45" s="22" t="s">
        <v>52</v>
      </c>
      <c r="B45" s="23">
        <f t="shared" ref="B45:H45" si="2">+SUM(B4:B44)</f>
        <v>895242275.95999992</v>
      </c>
      <c r="C45" s="23">
        <f t="shared" si="2"/>
        <v>83401533.980000004</v>
      </c>
      <c r="D45" s="23">
        <f t="shared" si="2"/>
        <v>355692960.56999999</v>
      </c>
      <c r="E45" s="23">
        <f t="shared" si="2"/>
        <v>0</v>
      </c>
      <c r="F45" s="23">
        <f t="shared" si="2"/>
        <v>446094494.55000007</v>
      </c>
      <c r="G45" s="23">
        <f t="shared" si="2"/>
        <v>458956000</v>
      </c>
      <c r="H45" s="24">
        <f t="shared" si="2"/>
        <v>-9808218.5900000334</v>
      </c>
      <c r="I45" s="22"/>
    </row>
    <row r="46" spans="1:9" ht="16.5" x14ac:dyDescent="0.25">
      <c r="A46" s="25"/>
      <c r="B46" s="25"/>
      <c r="C46" s="25"/>
      <c r="D46" s="25"/>
      <c r="E46" s="25"/>
      <c r="F46" s="25"/>
      <c r="G46" s="26"/>
      <c r="H46" s="25"/>
      <c r="I46" s="25"/>
    </row>
    <row r="47" spans="1:9" ht="16.5" x14ac:dyDescent="0.25">
      <c r="A47" s="25" t="s">
        <v>53</v>
      </c>
      <c r="B47" s="25"/>
      <c r="C47" s="25"/>
      <c r="D47" s="25"/>
      <c r="E47" s="25"/>
      <c r="F47" s="25"/>
      <c r="G47" s="26">
        <v>25940000</v>
      </c>
      <c r="H47" s="25"/>
      <c r="I47" s="25"/>
    </row>
    <row r="48" spans="1:9" ht="16.5" x14ac:dyDescent="0.25">
      <c r="A48" s="25" t="s">
        <v>54</v>
      </c>
      <c r="B48" s="25"/>
      <c r="C48" s="25"/>
      <c r="D48" s="25"/>
      <c r="E48" s="25"/>
      <c r="F48" s="25"/>
      <c r="G48" s="26">
        <v>33456000</v>
      </c>
      <c r="H48" s="25"/>
      <c r="I48" s="25"/>
    </row>
    <row r="49" spans="1:9" ht="16.5" x14ac:dyDescent="0.25">
      <c r="A49" s="25" t="s">
        <v>55</v>
      </c>
      <c r="B49" s="25"/>
      <c r="C49" s="25"/>
      <c r="D49" s="25"/>
      <c r="E49" s="25"/>
      <c r="F49" s="25"/>
      <c r="G49" s="26">
        <v>19017000</v>
      </c>
      <c r="H49" s="25"/>
      <c r="I49" s="25"/>
    </row>
    <row r="50" spans="1:9" ht="16.5" x14ac:dyDescent="0.25">
      <c r="A50" s="25" t="s">
        <v>56</v>
      </c>
      <c r="B50" s="25"/>
      <c r="C50" s="25"/>
      <c r="D50" s="25"/>
      <c r="E50" s="25"/>
      <c r="F50" s="25"/>
      <c r="G50" s="26">
        <v>2337000</v>
      </c>
      <c r="H50" s="25"/>
      <c r="I50" s="25"/>
    </row>
    <row r="51" spans="1:9" ht="16.5" hidden="1" x14ac:dyDescent="0.25">
      <c r="A51" s="25" t="s">
        <v>57</v>
      </c>
      <c r="B51" s="25"/>
      <c r="C51" s="25"/>
      <c r="D51" s="25"/>
      <c r="E51" s="25"/>
      <c r="F51" s="25"/>
      <c r="G51" s="26"/>
      <c r="H51" s="25"/>
      <c r="I51" s="25"/>
    </row>
    <row r="52" spans="1:9" ht="16.5" hidden="1" x14ac:dyDescent="0.25">
      <c r="A52" s="25" t="s">
        <v>58</v>
      </c>
      <c r="B52" s="25"/>
      <c r="C52" s="25"/>
      <c r="D52" s="25"/>
      <c r="E52" s="25"/>
      <c r="F52" s="25"/>
      <c r="G52" s="26"/>
      <c r="H52" s="25"/>
      <c r="I52" s="25"/>
    </row>
    <row r="53" spans="1:9" ht="16.5" hidden="1" x14ac:dyDescent="0.25">
      <c r="A53" s="25" t="s">
        <v>59</v>
      </c>
      <c r="B53" s="25"/>
      <c r="C53" s="25"/>
      <c r="D53" s="25"/>
      <c r="E53" s="25"/>
      <c r="F53" s="25"/>
      <c r="G53" s="26"/>
      <c r="H53" s="25"/>
      <c r="I53" s="25"/>
    </row>
    <row r="54" spans="1:9" ht="16.5" hidden="1" x14ac:dyDescent="0.25">
      <c r="A54" s="25" t="s">
        <v>60</v>
      </c>
      <c r="B54" s="25"/>
      <c r="C54" s="25"/>
      <c r="D54" s="25"/>
      <c r="E54" s="25"/>
      <c r="F54" s="25"/>
      <c r="G54" s="26"/>
      <c r="H54" s="25"/>
      <c r="I54" s="25"/>
    </row>
    <row r="55" spans="1:9" ht="16.5" x14ac:dyDescent="0.25">
      <c r="A55" s="25"/>
      <c r="B55" s="25"/>
      <c r="C55" s="25"/>
      <c r="D55" s="25"/>
      <c r="E55" s="25"/>
      <c r="F55" s="25"/>
      <c r="G55" s="26"/>
      <c r="H55" s="25"/>
      <c r="I55" s="25"/>
    </row>
    <row r="56" spans="1:9" ht="16.5" x14ac:dyDescent="0.25">
      <c r="A56" s="27" t="s">
        <v>61</v>
      </c>
      <c r="B56" s="27"/>
      <c r="C56" s="27"/>
      <c r="D56" s="27"/>
      <c r="E56" s="27"/>
      <c r="F56" s="27"/>
      <c r="G56" s="28">
        <f>+SUM(G45:G55)</f>
        <v>539706000</v>
      </c>
      <c r="H56" s="27"/>
      <c r="I56" s="27"/>
    </row>
  </sheetData>
  <mergeCells count="1">
    <mergeCell ref="A1:I1"/>
  </mergeCells>
  <pageMargins left="0.7" right="0.7" top="0.75" bottom="0.75" header="0.3" footer="0.3"/>
  <pageSetup paperSize="9" scale="6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2026-05-19T06:54:20Z</dcterms:created>
  <dcterms:modified xsi:type="dcterms:W3CDTF">2026-05-21T06:23:40Z</dcterms:modified>
</cp:coreProperties>
</file>