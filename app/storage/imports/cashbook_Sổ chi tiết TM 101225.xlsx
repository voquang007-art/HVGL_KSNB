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KIỂM TRA THU CHI TIỀN MẶT\Tháng 12.2025\Ngày 10-12\"/>
    </mc:Choice>
  </mc:AlternateContent>
  <xr:revisionPtr revIDLastSave="0" documentId="13_ncr:1_{CE6B32C2-48DE-49D5-B875-5312F7348101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_FilterDatabase" localSheetId="1" hidden="1">SHVND!$A$10:$I$10</definedName>
    <definedName name="_xlnm.Print_Titles" localSheetId="0">SHN!$20:$21</definedName>
    <definedName name="_xlnm.Print_Titles" localSheetId="1">SHVND!$8:$9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2" l="1"/>
  <c r="H62" i="2"/>
  <c r="H63" i="2" l="1"/>
</calcChain>
</file>

<file path=xl/sharedStrings.xml><?xml version="1.0" encoding="utf-8"?>
<sst xmlns="http://schemas.openxmlformats.org/spreadsheetml/2006/main" count="692" uniqueCount="163">
  <si>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</si>
  <si>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</si>
  <si>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</si>
  <si>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</si>
  <si>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</si>
  <si>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</si>
  <si>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</si>
  <si>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</si>
  <si>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</si>
  <si>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</si>
  <si>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</si>
  <si>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</si>
  <si>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</si>
  <si>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</si>
  <si>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</si>
  <si>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</si>
  <si>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</si>
  <si>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</si>
  <si>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</si>
  <si>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</si>
  <si>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</si>
  <si>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</si>
  <si>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</si>
  <si>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</si>
  <si>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</si>
  <si>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</si>
  <si>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</si>
  <si>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</si>
  <si>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</si>
  <si>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</si>
  <si>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</si>
  <si>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PT</t>
  </si>
  <si>
    <t>00369/12/25</t>
  </si>
  <si>
    <t>Thu tiền viện phí phòng cấp cứu 115 ngày 10/12/2025 (0h00-7h00)</t>
  </si>
  <si>
    <t/>
  </si>
  <si>
    <t>KHACHKCB</t>
  </si>
  <si>
    <t>1311</t>
  </si>
  <si>
    <t>PC</t>
  </si>
  <si>
    <t>00048/12/25</t>
  </si>
  <si>
    <t>Thanh toán chi phí phát sinh cho Vũ ID367 - công tác phí đưa đón đoàn đi Phú Yên viếng tang ngày 05-07/12/25</t>
  </si>
  <si>
    <t>CHUNG</t>
  </si>
  <si>
    <t>6428</t>
  </si>
  <si>
    <t>Thanh toán chi phí phát sinh cho Vũ ID367 - rửa xe, đưa đón chuyên gia ăn sáng, cà phê</t>
  </si>
  <si>
    <t>811</t>
  </si>
  <si>
    <t>00049/12/25</t>
  </si>
  <si>
    <t>Nộp tiền vào TKNH - MB</t>
  </si>
  <si>
    <t>MB</t>
  </si>
  <si>
    <t>11213</t>
  </si>
  <si>
    <t>00050/12/25</t>
  </si>
  <si>
    <t>Tạm ứng chi phí công việc - Trần Gia Phú ID5</t>
  </si>
  <si>
    <t>00005</t>
  </si>
  <si>
    <t>141</t>
  </si>
  <si>
    <t>00051/12/25</t>
  </si>
  <si>
    <t>Hoàn tiền viện phí BN Nguyễn Thị Thu (mã KCB 2500305877) - BN BLVP ra viện ngày 10/12/25</t>
  </si>
  <si>
    <t>00052/12/25</t>
  </si>
  <si>
    <t>Hoàn tiền viện phí BN BÙI NGỌC ÁNH (mã KCB 2500306817) - Tổ BLVP ra viện ngày 10/12/25</t>
  </si>
  <si>
    <t>00370/12/25</t>
  </si>
  <si>
    <t>Thu tiền viện phí Phòng khám A232 ngày 10/12/2025</t>
  </si>
  <si>
    <t>00053/12/25</t>
  </si>
  <si>
    <t>Hoàn tiền viện phí BN DƯƠNG ĐÌNH VƯƠNG (mã KCB 2500310642) - Tổ BLVP ra viện ngày 10/12/25</t>
  </si>
  <si>
    <t>00371/12/25</t>
  </si>
  <si>
    <t>Thu tiền viện phí ĐV Nội soi TDCN ngày 10/12/2025</t>
  </si>
  <si>
    <t>00372/12/25</t>
  </si>
  <si>
    <t>Thu tiền viện phí Phòng khám A107 ngày 10/12/2025</t>
  </si>
  <si>
    <t>00373/12/25</t>
  </si>
  <si>
    <t>Thu tiền viện phí Khoa Nhi ngày 10/12/2025</t>
  </si>
  <si>
    <t>00374/12/25</t>
  </si>
  <si>
    <t>Thu tiền bán suất ăn ca tối ngày 09/12 &amp; ca sáng ngày 10/12/2025</t>
  </si>
  <si>
    <t>CANTIN</t>
  </si>
  <si>
    <t>00375/12/25</t>
  </si>
  <si>
    <t>Thu tiền viện phí Khoa Nội TH-TM ngày 10/12/2025</t>
  </si>
  <si>
    <t>00376/12/25</t>
  </si>
  <si>
    <t>Thu tiền siêu thị ngày 09/12/2025</t>
  </si>
  <si>
    <t>SIEUTHI</t>
  </si>
  <si>
    <t>00377/12/25</t>
  </si>
  <si>
    <t>Thu tiền nhà thuốc ngày 09/12/2025</t>
  </si>
  <si>
    <t>NHATHUOC</t>
  </si>
  <si>
    <t>00378/12/25</t>
  </si>
  <si>
    <t>Thu tiền viện phí Phòng khám A219 ngày 10/12/2025</t>
  </si>
  <si>
    <t>00379/12/25</t>
  </si>
  <si>
    <t>Thu tiền viện phí Phòng khám A104 ngày 10/12/2025</t>
  </si>
  <si>
    <t>00380/12/25</t>
  </si>
  <si>
    <t>Thu tiền viện phí Phòng khám A102 ngày 10/12/2025</t>
  </si>
  <si>
    <t>00381/12/25</t>
  </si>
  <si>
    <t>Thu tiền viện phí Khoa Sản ngày 10/12/2025</t>
  </si>
  <si>
    <t>00382/12/25</t>
  </si>
  <si>
    <t>Thu tiền viện phí Phòng khám A214 ngày 10/12/2025</t>
  </si>
  <si>
    <t>00383/12/25</t>
  </si>
  <si>
    <t>Thu tiền viện phí Phòng khám A113 ngày 10/12/2025</t>
  </si>
  <si>
    <t>00384/12/25</t>
  </si>
  <si>
    <t>Thu tiền viện phí Khoa PHCN-YHCT ngày 10/12/2025</t>
  </si>
  <si>
    <t>00385/12/25</t>
  </si>
  <si>
    <t>Thu tiền viện phí Phòng khám A108 ngày 10/12/2025</t>
  </si>
  <si>
    <t>00386/12/25</t>
  </si>
  <si>
    <t>Thu tiền ĐV Da liễu ngày 10/12/2025</t>
  </si>
  <si>
    <t>DALIEU</t>
  </si>
  <si>
    <t>00387/12/25</t>
  </si>
  <si>
    <t>Thu tiền gửi xe từ 16h15 ngày 09/12 - 16h15 ngày 10/12/2025</t>
  </si>
  <si>
    <t>GUIXE</t>
  </si>
  <si>
    <t>00388/12/25</t>
  </si>
  <si>
    <t>Thu tiền viện phí Phòng khám A230 ngày 10/12/2025</t>
  </si>
  <si>
    <t>00389/12/25</t>
  </si>
  <si>
    <t>Thu tiền viện phí Phòng khám A111 ngày 10/12/2025</t>
  </si>
  <si>
    <t>00390/12/25</t>
  </si>
  <si>
    <t>Thu tiền viện phí Khoa Liên chuyên khoa ngày 10/12/2025</t>
  </si>
  <si>
    <t>00391/12/25</t>
  </si>
  <si>
    <t>Thu tiền viện phí Khoa Ngoại TH ngày 10/12/2025</t>
  </si>
  <si>
    <t>00392/12/25</t>
  </si>
  <si>
    <t>Thu tiền viện phí Phòng khám A545 ngày 10/12/2025</t>
  </si>
  <si>
    <t>00393/12/25</t>
  </si>
  <si>
    <t>Thu tiền ĐV Tiêm chủng ngày 10/12/2025</t>
  </si>
  <si>
    <t>TIEMCHUNG</t>
  </si>
  <si>
    <t>00394/12/25</t>
  </si>
  <si>
    <t>Thu tiền viện phí Phòng khám A248 ngày 10/12/2025</t>
  </si>
  <si>
    <t>00395/12/25</t>
  </si>
  <si>
    <t>Thu tiền viện phí Phòng khám A122 ngày 10/12/2025</t>
  </si>
  <si>
    <t>00396/12/25</t>
  </si>
  <si>
    <t>Thu tiền viện phí Phòng khám A216 ngày 10/12/2025</t>
  </si>
  <si>
    <t>00397/12/25</t>
  </si>
  <si>
    <t>Thu tiền viện phí Phòng khám A223 ngày 10/12/2025</t>
  </si>
  <si>
    <t>00398/12/25</t>
  </si>
  <si>
    <t>Thu tiền viện phí Phòng khám A103 ngày 10/12/2025</t>
  </si>
  <si>
    <t>00399/12/25</t>
  </si>
  <si>
    <t>Thu tiền viện phí Phòng khám A226 ngày 10/12/2025</t>
  </si>
  <si>
    <t>00400/12/25</t>
  </si>
  <si>
    <t>Thu tiền viện phí Phòng khám A233 ngày 10/12/2025</t>
  </si>
  <si>
    <t>00401/12/25</t>
  </si>
  <si>
    <t>Thu tiền viện phí Phòng khám A220 ngày 10/12/2025</t>
  </si>
  <si>
    <t>00402/12/25</t>
  </si>
  <si>
    <t>Thu tiền viện phí Phòng khám A249 ngày 10/12/2025</t>
  </si>
  <si>
    <t>00403/12/25</t>
  </si>
  <si>
    <t>Thu tiền viện phí Khoa Chấn thương chỉnh hình ngày 10/12/2025</t>
  </si>
  <si>
    <t>00404/12/25</t>
  </si>
  <si>
    <t>Thu tiền viện phí phòng cấp cứu 115 ngày 10/12/2025 (07h00-23h59)</t>
  </si>
  <si>
    <t>00405/12/25</t>
  </si>
  <si>
    <t>Thu tiền viện phí Phòng khám A121 ngày 10/12/2025</t>
  </si>
  <si>
    <t>00407/12/25</t>
  </si>
  <si>
    <t>Thu tiền viện phí Khoa Nội TH-TM tua trực ngày 10/12/25</t>
  </si>
  <si>
    <t>00406/12/25</t>
  </si>
  <si>
    <t>Thu tiền viện phí Khoa HSTC-CĐ ngày 10/12/2025</t>
  </si>
  <si>
    <t>00400A/12/25</t>
  </si>
  <si>
    <t>Thu hoàn ứng - Trương Hoài Lam ID929</t>
  </si>
  <si>
    <t>00929</t>
  </si>
  <si>
    <t>00051A/12/25</t>
  </si>
  <si>
    <t>Chi trả phí thu hút nhân lực - Trương Hoài Lam ID929</t>
  </si>
  <si>
    <t>3341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</si>
  <si>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</si>
  <si>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</si>
  <si>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</si>
  <si>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</si>
  <si>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</si>
  <si>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</si>
  <si>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10/12/25 đến ngày 10/12/25</t>
  </si>
  <si>
    <t>00400B/12/25</t>
  </si>
  <si>
    <t>Phí cấp Bản tóm tắt hồ sơ bệnh án và Giấy chứng nhận thương tích của bệnh nhân Đỗ Phương (SN: 1978)</t>
  </si>
  <si>
    <t>1312</t>
  </si>
  <si>
    <t>KHACHKHAC</t>
  </si>
  <si>
    <t>Thu tiền viện phí ĐV Khám sức khỏe ngày 01/12/2025</t>
  </si>
  <si>
    <t>KLKSK</t>
  </si>
  <si>
    <t>00400C/12/25</t>
  </si>
  <si>
    <t>00400D/12/25</t>
  </si>
  <si>
    <t>Thu tiền viện phí Phòng khám A252 ngày 01/12/2025</t>
  </si>
  <si>
    <t>QUAYKINH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</si>
</sst>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  <font>
      <sz val="11"/>
      <color rgb="FFFF0000"/>
      <name val="Calibri"/>
      <family val="2"/>
      <scheme val="minor"/>
    </font>
    <font>
      <sz val="9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  <xf numFmtId="14" fontId="12" fillId="0" borderId="1" xfId="1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justify" vertical="center" wrapText="1"/>
    </xf>
    <xf numFmtId="0" fontId="12" fillId="0" borderId="1" xfId="1" applyFont="1" applyBorder="1" applyAlignment="1">
      <alignment horizontal="justify" vertical="center"/>
    </xf>
    <xf numFmtId="49" fontId="12" fillId="0" borderId="1" xfId="1" applyNumberFormat="1" applyFont="1" applyBorder="1" applyAlignment="1">
      <alignment horizontal="center" vertical="center"/>
    </xf>
    <xf numFmtId="3" fontId="12" fillId="0" borderId="1" xfId="1" applyNumberFormat="1" applyFont="1" applyBorder="1" applyAlignment="1">
      <alignment horizontal="right" vertical="center" shrinkToFit="1"/>
    </xf>
    <xf numFmtId="3" fontId="12" fillId="0" borderId="1" xfId="2" applyNumberFormat="1" applyFont="1" applyFill="1" applyBorder="1" applyAlignment="1">
      <alignment horizontal="right" vertical="center" shrinkToFit="1"/>
    </xf>
    <xf numFmtId="0" fontId="11" fillId="0" borderId="0" xfId="0" applyFont="1"/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34</v>
      </c>
      <c r="B12" s="20"/>
      <c r="C12" s="20"/>
      <c r="D12" s="27" t="s">
        <v>147</v>
      </c>
      <c r="E12" s="27"/>
      <c r="F12" s="27"/>
      <c r="G12" s="19"/>
      <c r="H12" s="19"/>
      <c r="I12" s="19"/>
      <c r="J12" s="28" t="s">
        <v>148</v>
      </c>
      <c r="K12" s="21"/>
      <c r="L12" s="1"/>
    </row>
    <row r="13" spans="1:12" x14ac:dyDescent="0.25">
      <c r="A13" s="29" t="s">
        <v>149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150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151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146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152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23445750615</v>
      </c>
      <c r="K22" s="59">
        <v>0</v>
      </c>
    </row>
    <row r="23" spans="1:12" ht="24" x14ac:dyDescent="0.25">
      <c r="A23" s="2" t="s">
        <v>31</v>
      </c>
      <c r="B23" s="2" t="s">
        <v>32</v>
      </c>
      <c r="C23" s="2">
        <v>46001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6460000</v>
      </c>
      <c r="K23" s="73">
        <v>0</v>
      </c>
      <c r="L23" s="1"/>
    </row>
    <row r="24" spans="1:12" ht="36" x14ac:dyDescent="0.25">
      <c r="A24" s="2" t="s">
        <v>37</v>
      </c>
      <c r="B24" s="2" t="s">
        <v>38</v>
      </c>
      <c r="C24" s="2">
        <v>46001</v>
      </c>
      <c r="D24" s="76" t="s">
        <v>39</v>
      </c>
      <c r="E24" s="3" t="s">
        <v>40</v>
      </c>
      <c r="F24" s="3" t="s">
        <v>34</v>
      </c>
      <c r="G24" s="4" t="s">
        <v>41</v>
      </c>
      <c r="H24" s="72">
        <v>0</v>
      </c>
      <c r="I24" s="73">
        <v>0</v>
      </c>
      <c r="J24" s="72">
        <v>0</v>
      </c>
      <c r="K24" s="73">
        <v>900000</v>
      </c>
      <c r="L24" s="1"/>
    </row>
    <row r="25" spans="1:12" ht="24" x14ac:dyDescent="0.25">
      <c r="A25" s="2" t="s">
        <v>37</v>
      </c>
      <c r="B25" s="2" t="s">
        <v>38</v>
      </c>
      <c r="C25" s="2">
        <v>46001</v>
      </c>
      <c r="D25" s="76" t="s">
        <v>42</v>
      </c>
      <c r="E25" s="3" t="s">
        <v>40</v>
      </c>
      <c r="F25" s="3" t="s">
        <v>34</v>
      </c>
      <c r="G25" s="4" t="s">
        <v>43</v>
      </c>
      <c r="H25" s="72">
        <v>0</v>
      </c>
      <c r="I25" s="73">
        <v>0</v>
      </c>
      <c r="J25" s="72">
        <v>0</v>
      </c>
      <c r="K25" s="73">
        <v>572000</v>
      </c>
      <c r="L25" s="1"/>
    </row>
    <row r="26" spans="1:12" x14ac:dyDescent="0.25">
      <c r="A26" s="2" t="s">
        <v>37</v>
      </c>
      <c r="B26" s="2" t="s">
        <v>44</v>
      </c>
      <c r="C26" s="2">
        <v>46001</v>
      </c>
      <c r="D26" s="76" t="s">
        <v>45</v>
      </c>
      <c r="E26" s="3" t="s">
        <v>46</v>
      </c>
      <c r="F26" s="3" t="s">
        <v>34</v>
      </c>
      <c r="G26" s="4" t="s">
        <v>47</v>
      </c>
      <c r="H26" s="72">
        <v>0</v>
      </c>
      <c r="I26" s="73">
        <v>0</v>
      </c>
      <c r="J26" s="72">
        <v>0</v>
      </c>
      <c r="K26" s="73">
        <v>500000000</v>
      </c>
      <c r="L26" s="1"/>
    </row>
    <row r="27" spans="1:12" x14ac:dyDescent="0.25">
      <c r="A27" s="2" t="s">
        <v>37</v>
      </c>
      <c r="B27" s="2" t="s">
        <v>48</v>
      </c>
      <c r="C27" s="2">
        <v>46001</v>
      </c>
      <c r="D27" s="76" t="s">
        <v>49</v>
      </c>
      <c r="E27" s="3" t="s">
        <v>50</v>
      </c>
      <c r="F27" s="3" t="s">
        <v>34</v>
      </c>
      <c r="G27" s="4" t="s">
        <v>51</v>
      </c>
      <c r="H27" s="72">
        <v>0</v>
      </c>
      <c r="I27" s="73">
        <v>0</v>
      </c>
      <c r="J27" s="72">
        <v>0</v>
      </c>
      <c r="K27" s="73">
        <v>187500000</v>
      </c>
      <c r="L27" s="1"/>
    </row>
    <row r="28" spans="1:12" ht="24" x14ac:dyDescent="0.25">
      <c r="A28" s="2" t="s">
        <v>37</v>
      </c>
      <c r="B28" s="2" t="s">
        <v>52</v>
      </c>
      <c r="C28" s="2">
        <v>46001</v>
      </c>
      <c r="D28" s="76" t="s">
        <v>53</v>
      </c>
      <c r="E28" s="3" t="s">
        <v>35</v>
      </c>
      <c r="F28" s="3" t="s">
        <v>34</v>
      </c>
      <c r="G28" s="4" t="s">
        <v>36</v>
      </c>
      <c r="H28" s="72">
        <v>0</v>
      </c>
      <c r="I28" s="73">
        <v>0</v>
      </c>
      <c r="J28" s="72">
        <v>0</v>
      </c>
      <c r="K28" s="73">
        <v>909231</v>
      </c>
      <c r="L28" s="1"/>
    </row>
    <row r="29" spans="1:12" ht="36" x14ac:dyDescent="0.25">
      <c r="A29" s="2" t="s">
        <v>37</v>
      </c>
      <c r="B29" s="2" t="s">
        <v>54</v>
      </c>
      <c r="C29" s="2">
        <v>46001</v>
      </c>
      <c r="D29" s="76" t="s">
        <v>55</v>
      </c>
      <c r="E29" s="3" t="s">
        <v>35</v>
      </c>
      <c r="F29" s="3" t="s">
        <v>34</v>
      </c>
      <c r="G29" s="4" t="s">
        <v>36</v>
      </c>
      <c r="H29" s="72">
        <v>0</v>
      </c>
      <c r="I29" s="73">
        <v>0</v>
      </c>
      <c r="J29" s="72">
        <v>0</v>
      </c>
      <c r="K29" s="73">
        <v>1730000</v>
      </c>
      <c r="L29" s="1"/>
    </row>
    <row r="30" spans="1:12" ht="24" x14ac:dyDescent="0.25">
      <c r="A30" s="2" t="s">
        <v>31</v>
      </c>
      <c r="B30" s="2" t="s">
        <v>56</v>
      </c>
      <c r="C30" s="2">
        <v>46001</v>
      </c>
      <c r="D30" s="76" t="s">
        <v>57</v>
      </c>
      <c r="E30" s="3" t="s">
        <v>34</v>
      </c>
      <c r="F30" s="3" t="s">
        <v>35</v>
      </c>
      <c r="G30" s="4" t="s">
        <v>36</v>
      </c>
      <c r="H30" s="72">
        <v>0</v>
      </c>
      <c r="I30" s="73">
        <v>0</v>
      </c>
      <c r="J30" s="72">
        <v>5828000</v>
      </c>
      <c r="K30" s="73">
        <v>0</v>
      </c>
      <c r="L30" s="1"/>
    </row>
    <row r="31" spans="1:12" ht="36" x14ac:dyDescent="0.25">
      <c r="A31" s="2" t="s">
        <v>37</v>
      </c>
      <c r="B31" s="2" t="s">
        <v>58</v>
      </c>
      <c r="C31" s="2">
        <v>46001</v>
      </c>
      <c r="D31" s="76" t="s">
        <v>59</v>
      </c>
      <c r="E31" s="3" t="s">
        <v>35</v>
      </c>
      <c r="F31" s="3" t="s">
        <v>34</v>
      </c>
      <c r="G31" s="4" t="s">
        <v>36</v>
      </c>
      <c r="H31" s="72">
        <v>0</v>
      </c>
      <c r="I31" s="73">
        <v>0</v>
      </c>
      <c r="J31" s="72">
        <v>0</v>
      </c>
      <c r="K31" s="73">
        <v>5142677</v>
      </c>
      <c r="L31" s="1"/>
    </row>
    <row r="32" spans="1:12" ht="24" x14ac:dyDescent="0.25">
      <c r="A32" s="2" t="s">
        <v>31</v>
      </c>
      <c r="B32" s="2" t="s">
        <v>60</v>
      </c>
      <c r="C32" s="2">
        <v>46001</v>
      </c>
      <c r="D32" s="76" t="s">
        <v>61</v>
      </c>
      <c r="E32" s="3" t="s">
        <v>34</v>
      </c>
      <c r="F32" s="3" t="s">
        <v>35</v>
      </c>
      <c r="G32" s="4" t="s">
        <v>36</v>
      </c>
      <c r="H32" s="72">
        <v>0</v>
      </c>
      <c r="I32" s="73">
        <v>0</v>
      </c>
      <c r="J32" s="72">
        <v>2800000</v>
      </c>
      <c r="K32" s="73">
        <v>0</v>
      </c>
      <c r="L32" s="1"/>
    </row>
    <row r="33" spans="1:12" ht="24" x14ac:dyDescent="0.25">
      <c r="A33" s="2" t="s">
        <v>31</v>
      </c>
      <c r="B33" s="2" t="s">
        <v>62</v>
      </c>
      <c r="C33" s="2">
        <v>46001</v>
      </c>
      <c r="D33" s="76" t="s">
        <v>63</v>
      </c>
      <c r="E33" s="3" t="s">
        <v>34</v>
      </c>
      <c r="F33" s="3" t="s">
        <v>35</v>
      </c>
      <c r="G33" s="4" t="s">
        <v>36</v>
      </c>
      <c r="H33" s="72">
        <v>0</v>
      </c>
      <c r="I33" s="73">
        <v>0</v>
      </c>
      <c r="J33" s="72">
        <v>9282000</v>
      </c>
      <c r="K33" s="73">
        <v>0</v>
      </c>
      <c r="L33" s="1"/>
    </row>
    <row r="34" spans="1:12" ht="24" x14ac:dyDescent="0.25">
      <c r="A34" s="2" t="s">
        <v>31</v>
      </c>
      <c r="B34" s="2" t="s">
        <v>64</v>
      </c>
      <c r="C34" s="2">
        <v>46001</v>
      </c>
      <c r="D34" s="76" t="s">
        <v>65</v>
      </c>
      <c r="E34" s="3" t="s">
        <v>34</v>
      </c>
      <c r="F34" s="3" t="s">
        <v>35</v>
      </c>
      <c r="G34" s="4" t="s">
        <v>36</v>
      </c>
      <c r="H34" s="72">
        <v>0</v>
      </c>
      <c r="I34" s="73">
        <v>0</v>
      </c>
      <c r="J34" s="72">
        <v>19476000</v>
      </c>
      <c r="K34" s="73">
        <v>0</v>
      </c>
      <c r="L34" s="1"/>
    </row>
    <row r="35" spans="1:12" ht="24" x14ac:dyDescent="0.25">
      <c r="A35" s="2" t="s">
        <v>31</v>
      </c>
      <c r="B35" s="2" t="s">
        <v>66</v>
      </c>
      <c r="C35" s="2">
        <v>46001</v>
      </c>
      <c r="D35" s="76" t="s">
        <v>67</v>
      </c>
      <c r="E35" s="3" t="s">
        <v>34</v>
      </c>
      <c r="F35" s="3" t="s">
        <v>68</v>
      </c>
      <c r="G35" s="4" t="s">
        <v>36</v>
      </c>
      <c r="H35" s="72">
        <v>0</v>
      </c>
      <c r="I35" s="73">
        <v>0</v>
      </c>
      <c r="J35" s="72">
        <v>24201000</v>
      </c>
      <c r="K35" s="73">
        <v>0</v>
      </c>
      <c r="L35" s="1"/>
    </row>
    <row r="36" spans="1:12" ht="24" x14ac:dyDescent="0.25">
      <c r="A36" s="2" t="s">
        <v>31</v>
      </c>
      <c r="B36" s="2" t="s">
        <v>69</v>
      </c>
      <c r="C36" s="2">
        <v>46001</v>
      </c>
      <c r="D36" s="76" t="s">
        <v>70</v>
      </c>
      <c r="E36" s="3" t="s">
        <v>34</v>
      </c>
      <c r="F36" s="3" t="s">
        <v>35</v>
      </c>
      <c r="G36" s="4" t="s">
        <v>36</v>
      </c>
      <c r="H36" s="72">
        <v>0</v>
      </c>
      <c r="I36" s="73">
        <v>0</v>
      </c>
      <c r="J36" s="72">
        <v>5476000</v>
      </c>
      <c r="K36" s="73">
        <v>0</v>
      </c>
      <c r="L36" s="1"/>
    </row>
    <row r="37" spans="1:12" x14ac:dyDescent="0.25">
      <c r="A37" s="2" t="s">
        <v>31</v>
      </c>
      <c r="B37" s="2" t="s">
        <v>71</v>
      </c>
      <c r="C37" s="2">
        <v>46001</v>
      </c>
      <c r="D37" s="76" t="s">
        <v>72</v>
      </c>
      <c r="E37" s="3" t="s">
        <v>34</v>
      </c>
      <c r="F37" s="3" t="s">
        <v>73</v>
      </c>
      <c r="G37" s="4" t="s">
        <v>36</v>
      </c>
      <c r="H37" s="72">
        <v>0</v>
      </c>
      <c r="I37" s="73">
        <v>0</v>
      </c>
      <c r="J37" s="72">
        <v>20855799</v>
      </c>
      <c r="K37" s="73">
        <v>0</v>
      </c>
      <c r="L37" s="1"/>
    </row>
    <row r="38" spans="1:12" ht="24" x14ac:dyDescent="0.25">
      <c r="A38" s="2" t="s">
        <v>31</v>
      </c>
      <c r="B38" s="2" t="s">
        <v>74</v>
      </c>
      <c r="C38" s="2">
        <v>46001</v>
      </c>
      <c r="D38" s="76" t="s">
        <v>75</v>
      </c>
      <c r="E38" s="3" t="s">
        <v>34</v>
      </c>
      <c r="F38" s="3" t="s">
        <v>76</v>
      </c>
      <c r="G38" s="4" t="s">
        <v>36</v>
      </c>
      <c r="H38" s="72">
        <v>0</v>
      </c>
      <c r="I38" s="73">
        <v>0</v>
      </c>
      <c r="J38" s="72">
        <v>4051952</v>
      </c>
      <c r="K38" s="73">
        <v>0</v>
      </c>
      <c r="L38" s="1"/>
    </row>
    <row r="39" spans="1:12" ht="24" x14ac:dyDescent="0.25">
      <c r="A39" s="2" t="s">
        <v>31</v>
      </c>
      <c r="B39" s="2" t="s">
        <v>77</v>
      </c>
      <c r="C39" s="2">
        <v>46001</v>
      </c>
      <c r="D39" s="76" t="s">
        <v>78</v>
      </c>
      <c r="E39" s="3" t="s">
        <v>34</v>
      </c>
      <c r="F39" s="3" t="s">
        <v>35</v>
      </c>
      <c r="G39" s="4" t="s">
        <v>36</v>
      </c>
      <c r="H39" s="72">
        <v>0</v>
      </c>
      <c r="I39" s="73">
        <v>0</v>
      </c>
      <c r="J39" s="72">
        <v>3370000</v>
      </c>
      <c r="K39" s="73">
        <v>0</v>
      </c>
      <c r="L39" s="1"/>
    </row>
    <row r="40" spans="1:12" ht="24" x14ac:dyDescent="0.25">
      <c r="A40" s="2" t="s">
        <v>31</v>
      </c>
      <c r="B40" s="2" t="s">
        <v>79</v>
      </c>
      <c r="C40" s="2">
        <v>46001</v>
      </c>
      <c r="D40" s="76" t="s">
        <v>80</v>
      </c>
      <c r="E40" s="3" t="s">
        <v>34</v>
      </c>
      <c r="F40" s="3" t="s">
        <v>35</v>
      </c>
      <c r="G40" s="4" t="s">
        <v>36</v>
      </c>
      <c r="H40" s="72">
        <v>0</v>
      </c>
      <c r="I40" s="73">
        <v>0</v>
      </c>
      <c r="J40" s="72">
        <v>4207000</v>
      </c>
      <c r="K40" s="73">
        <v>0</v>
      </c>
      <c r="L40" s="1"/>
    </row>
    <row r="41" spans="1:12" ht="24" x14ac:dyDescent="0.25">
      <c r="A41" s="2" t="s">
        <v>31</v>
      </c>
      <c r="B41" s="2" t="s">
        <v>81</v>
      </c>
      <c r="C41" s="2">
        <v>46001</v>
      </c>
      <c r="D41" s="76" t="s">
        <v>82</v>
      </c>
      <c r="E41" s="3" t="s">
        <v>34</v>
      </c>
      <c r="F41" s="3" t="s">
        <v>35</v>
      </c>
      <c r="G41" s="4" t="s">
        <v>36</v>
      </c>
      <c r="H41" s="72">
        <v>0</v>
      </c>
      <c r="I41" s="73">
        <v>0</v>
      </c>
      <c r="J41" s="72">
        <v>14247000</v>
      </c>
      <c r="K41" s="73">
        <v>0</v>
      </c>
      <c r="L41" s="1"/>
    </row>
    <row r="42" spans="1:12" ht="24" x14ac:dyDescent="0.25">
      <c r="A42" s="2" t="s">
        <v>31</v>
      </c>
      <c r="B42" s="2" t="s">
        <v>83</v>
      </c>
      <c r="C42" s="2">
        <v>46001</v>
      </c>
      <c r="D42" s="76" t="s">
        <v>84</v>
      </c>
      <c r="E42" s="3" t="s">
        <v>34</v>
      </c>
      <c r="F42" s="3" t="s">
        <v>35</v>
      </c>
      <c r="G42" s="4" t="s">
        <v>36</v>
      </c>
      <c r="H42" s="72">
        <v>0</v>
      </c>
      <c r="I42" s="73">
        <v>0</v>
      </c>
      <c r="J42" s="72">
        <v>65100000</v>
      </c>
      <c r="K42" s="73">
        <v>0</v>
      </c>
      <c r="L42" s="1"/>
    </row>
    <row r="43" spans="1:12" ht="24" x14ac:dyDescent="0.25">
      <c r="A43" s="2" t="s">
        <v>31</v>
      </c>
      <c r="B43" s="2" t="s">
        <v>85</v>
      </c>
      <c r="C43" s="2">
        <v>46001</v>
      </c>
      <c r="D43" s="76" t="s">
        <v>86</v>
      </c>
      <c r="E43" s="3" t="s">
        <v>34</v>
      </c>
      <c r="F43" s="3" t="s">
        <v>35</v>
      </c>
      <c r="G43" s="4" t="s">
        <v>36</v>
      </c>
      <c r="H43" s="72">
        <v>0</v>
      </c>
      <c r="I43" s="73">
        <v>0</v>
      </c>
      <c r="J43" s="72">
        <v>1145000</v>
      </c>
      <c r="K43" s="73">
        <v>0</v>
      </c>
      <c r="L43" s="1"/>
    </row>
    <row r="44" spans="1:12" ht="24" x14ac:dyDescent="0.25">
      <c r="A44" s="2" t="s">
        <v>31</v>
      </c>
      <c r="B44" s="2" t="s">
        <v>87</v>
      </c>
      <c r="C44" s="2">
        <v>46001</v>
      </c>
      <c r="D44" s="76" t="s">
        <v>88</v>
      </c>
      <c r="E44" s="3" t="s">
        <v>34</v>
      </c>
      <c r="F44" s="3" t="s">
        <v>35</v>
      </c>
      <c r="G44" s="4" t="s">
        <v>36</v>
      </c>
      <c r="H44" s="72">
        <v>0</v>
      </c>
      <c r="I44" s="73">
        <v>0</v>
      </c>
      <c r="J44" s="72">
        <v>13310000</v>
      </c>
      <c r="K44" s="73">
        <v>0</v>
      </c>
      <c r="L44" s="1"/>
    </row>
    <row r="45" spans="1:12" ht="24" x14ac:dyDescent="0.25">
      <c r="A45" s="2" t="s">
        <v>31</v>
      </c>
      <c r="B45" s="2" t="s">
        <v>89</v>
      </c>
      <c r="C45" s="2">
        <v>46001</v>
      </c>
      <c r="D45" s="76" t="s">
        <v>90</v>
      </c>
      <c r="E45" s="3" t="s">
        <v>34</v>
      </c>
      <c r="F45" s="3" t="s">
        <v>35</v>
      </c>
      <c r="G45" s="4" t="s">
        <v>36</v>
      </c>
      <c r="H45" s="72">
        <v>0</v>
      </c>
      <c r="I45" s="73">
        <v>0</v>
      </c>
      <c r="J45" s="72">
        <v>2898000</v>
      </c>
      <c r="K45" s="73">
        <v>0</v>
      </c>
      <c r="L45" s="1"/>
    </row>
    <row r="46" spans="1:12" ht="24" x14ac:dyDescent="0.25">
      <c r="A46" s="2" t="s">
        <v>31</v>
      </c>
      <c r="B46" s="2" t="s">
        <v>91</v>
      </c>
      <c r="C46" s="2">
        <v>46001</v>
      </c>
      <c r="D46" s="76" t="s">
        <v>92</v>
      </c>
      <c r="E46" s="3" t="s">
        <v>34</v>
      </c>
      <c r="F46" s="3" t="s">
        <v>35</v>
      </c>
      <c r="G46" s="4" t="s">
        <v>36</v>
      </c>
      <c r="H46" s="72">
        <v>0</v>
      </c>
      <c r="I46" s="73">
        <v>0</v>
      </c>
      <c r="J46" s="72">
        <v>3338000</v>
      </c>
      <c r="K46" s="73">
        <v>0</v>
      </c>
      <c r="L46" s="1"/>
    </row>
    <row r="47" spans="1:12" x14ac:dyDescent="0.25">
      <c r="A47" s="2" t="s">
        <v>31</v>
      </c>
      <c r="B47" s="2" t="s">
        <v>93</v>
      </c>
      <c r="C47" s="2">
        <v>46001</v>
      </c>
      <c r="D47" s="76" t="s">
        <v>94</v>
      </c>
      <c r="E47" s="3" t="s">
        <v>34</v>
      </c>
      <c r="F47" s="3" t="s">
        <v>95</v>
      </c>
      <c r="G47" s="4" t="s">
        <v>36</v>
      </c>
      <c r="H47" s="72">
        <v>0</v>
      </c>
      <c r="I47" s="73">
        <v>0</v>
      </c>
      <c r="J47" s="72">
        <v>2833000</v>
      </c>
      <c r="K47" s="73">
        <v>0</v>
      </c>
      <c r="L47" s="1"/>
    </row>
    <row r="48" spans="1:12" ht="24" x14ac:dyDescent="0.25">
      <c r="A48" s="2" t="s">
        <v>31</v>
      </c>
      <c r="B48" s="2" t="s">
        <v>96</v>
      </c>
      <c r="C48" s="2">
        <v>46001</v>
      </c>
      <c r="D48" s="76" t="s">
        <v>97</v>
      </c>
      <c r="E48" s="3" t="s">
        <v>34</v>
      </c>
      <c r="F48" s="3" t="s">
        <v>98</v>
      </c>
      <c r="G48" s="4" t="s">
        <v>36</v>
      </c>
      <c r="H48" s="72">
        <v>0</v>
      </c>
      <c r="I48" s="73">
        <v>0</v>
      </c>
      <c r="J48" s="72">
        <v>2107000</v>
      </c>
      <c r="K48" s="73">
        <v>0</v>
      </c>
      <c r="L48" s="1"/>
    </row>
    <row r="49" spans="1:12" ht="24" x14ac:dyDescent="0.25">
      <c r="A49" s="2" t="s">
        <v>31</v>
      </c>
      <c r="B49" s="2" t="s">
        <v>99</v>
      </c>
      <c r="C49" s="2">
        <v>46001</v>
      </c>
      <c r="D49" s="76" t="s">
        <v>100</v>
      </c>
      <c r="E49" s="3" t="s">
        <v>34</v>
      </c>
      <c r="F49" s="3" t="s">
        <v>35</v>
      </c>
      <c r="G49" s="4" t="s">
        <v>36</v>
      </c>
      <c r="H49" s="72">
        <v>0</v>
      </c>
      <c r="I49" s="73">
        <v>0</v>
      </c>
      <c r="J49" s="72">
        <v>15838000</v>
      </c>
      <c r="K49" s="73">
        <v>0</v>
      </c>
      <c r="L49" s="1"/>
    </row>
    <row r="50" spans="1:12" ht="24" x14ac:dyDescent="0.25">
      <c r="A50" s="2" t="s">
        <v>31</v>
      </c>
      <c r="B50" s="2" t="s">
        <v>101</v>
      </c>
      <c r="C50" s="2">
        <v>46001</v>
      </c>
      <c r="D50" s="76" t="s">
        <v>102</v>
      </c>
      <c r="E50" s="3" t="s">
        <v>34</v>
      </c>
      <c r="F50" s="3" t="s">
        <v>35</v>
      </c>
      <c r="G50" s="4" t="s">
        <v>36</v>
      </c>
      <c r="H50" s="72">
        <v>0</v>
      </c>
      <c r="I50" s="73">
        <v>0</v>
      </c>
      <c r="J50" s="72">
        <v>11375000</v>
      </c>
      <c r="K50" s="73">
        <v>0</v>
      </c>
      <c r="L50" s="1"/>
    </row>
    <row r="51" spans="1:12" ht="24" x14ac:dyDescent="0.25">
      <c r="A51" s="2" t="s">
        <v>31</v>
      </c>
      <c r="B51" s="2" t="s">
        <v>103</v>
      </c>
      <c r="C51" s="2">
        <v>46001</v>
      </c>
      <c r="D51" s="76" t="s">
        <v>104</v>
      </c>
      <c r="E51" s="3" t="s">
        <v>34</v>
      </c>
      <c r="F51" s="3" t="s">
        <v>35</v>
      </c>
      <c r="G51" s="4" t="s">
        <v>36</v>
      </c>
      <c r="H51" s="72">
        <v>0</v>
      </c>
      <c r="I51" s="73">
        <v>0</v>
      </c>
      <c r="J51" s="72">
        <v>8917000</v>
      </c>
      <c r="K51" s="73">
        <v>0</v>
      </c>
      <c r="L51" s="1"/>
    </row>
    <row r="52" spans="1:12" ht="24" x14ac:dyDescent="0.25">
      <c r="A52" s="2" t="s">
        <v>31</v>
      </c>
      <c r="B52" s="2" t="s">
        <v>105</v>
      </c>
      <c r="C52" s="2">
        <v>46001</v>
      </c>
      <c r="D52" s="76" t="s">
        <v>106</v>
      </c>
      <c r="E52" s="3" t="s">
        <v>34</v>
      </c>
      <c r="F52" s="3" t="s">
        <v>35</v>
      </c>
      <c r="G52" s="4" t="s">
        <v>36</v>
      </c>
      <c r="H52" s="72">
        <v>0</v>
      </c>
      <c r="I52" s="73">
        <v>0</v>
      </c>
      <c r="J52" s="72">
        <v>33342000</v>
      </c>
      <c r="K52" s="73">
        <v>0</v>
      </c>
      <c r="L52" s="1"/>
    </row>
    <row r="53" spans="1:12" ht="24" x14ac:dyDescent="0.25">
      <c r="A53" s="2" t="s">
        <v>31</v>
      </c>
      <c r="B53" s="2" t="s">
        <v>107</v>
      </c>
      <c r="C53" s="2">
        <v>46001</v>
      </c>
      <c r="D53" s="76" t="s">
        <v>108</v>
      </c>
      <c r="E53" s="3" t="s">
        <v>34</v>
      </c>
      <c r="F53" s="3" t="s">
        <v>35</v>
      </c>
      <c r="G53" s="4" t="s">
        <v>36</v>
      </c>
      <c r="H53" s="72">
        <v>0</v>
      </c>
      <c r="I53" s="73">
        <v>0</v>
      </c>
      <c r="J53" s="72">
        <v>2735000</v>
      </c>
      <c r="K53" s="73">
        <v>0</v>
      </c>
      <c r="L53" s="1"/>
    </row>
    <row r="54" spans="1:12" ht="24" x14ac:dyDescent="0.25">
      <c r="A54" s="2" t="s">
        <v>31</v>
      </c>
      <c r="B54" s="2" t="s">
        <v>109</v>
      </c>
      <c r="C54" s="2">
        <v>46001</v>
      </c>
      <c r="D54" s="76" t="s">
        <v>110</v>
      </c>
      <c r="E54" s="3" t="s">
        <v>34</v>
      </c>
      <c r="F54" s="3" t="s">
        <v>111</v>
      </c>
      <c r="G54" s="4" t="s">
        <v>36</v>
      </c>
      <c r="H54" s="72">
        <v>0</v>
      </c>
      <c r="I54" s="73">
        <v>0</v>
      </c>
      <c r="J54" s="72">
        <v>17477000</v>
      </c>
      <c r="K54" s="73">
        <v>0</v>
      </c>
      <c r="L54" s="1"/>
    </row>
    <row r="55" spans="1:12" ht="24" x14ac:dyDescent="0.25">
      <c r="A55" s="2" t="s">
        <v>31</v>
      </c>
      <c r="B55" s="2" t="s">
        <v>112</v>
      </c>
      <c r="C55" s="2">
        <v>46001</v>
      </c>
      <c r="D55" s="76" t="s">
        <v>113</v>
      </c>
      <c r="E55" s="3" t="s">
        <v>34</v>
      </c>
      <c r="F55" s="3" t="s">
        <v>35</v>
      </c>
      <c r="G55" s="4" t="s">
        <v>36</v>
      </c>
      <c r="H55" s="72">
        <v>0</v>
      </c>
      <c r="I55" s="73">
        <v>0</v>
      </c>
      <c r="J55" s="72">
        <v>17578000</v>
      </c>
      <c r="K55" s="73">
        <v>0</v>
      </c>
      <c r="L55" s="1"/>
    </row>
    <row r="56" spans="1:12" ht="24" x14ac:dyDescent="0.25">
      <c r="A56" s="2" t="s">
        <v>31</v>
      </c>
      <c r="B56" s="2" t="s">
        <v>114</v>
      </c>
      <c r="C56" s="2">
        <v>46001</v>
      </c>
      <c r="D56" s="76" t="s">
        <v>115</v>
      </c>
      <c r="E56" s="3" t="s">
        <v>34</v>
      </c>
      <c r="F56" s="3" t="s">
        <v>35</v>
      </c>
      <c r="G56" s="4" t="s">
        <v>36</v>
      </c>
      <c r="H56" s="72">
        <v>0</v>
      </c>
      <c r="I56" s="73">
        <v>0</v>
      </c>
      <c r="J56" s="72">
        <v>5127000</v>
      </c>
      <c r="K56" s="73">
        <v>0</v>
      </c>
      <c r="L56" s="1"/>
    </row>
    <row r="57" spans="1:12" ht="24" x14ac:dyDescent="0.25">
      <c r="A57" s="2" t="s">
        <v>31</v>
      </c>
      <c r="B57" s="2" t="s">
        <v>116</v>
      </c>
      <c r="C57" s="2">
        <v>46001</v>
      </c>
      <c r="D57" s="76" t="s">
        <v>117</v>
      </c>
      <c r="E57" s="3" t="s">
        <v>34</v>
      </c>
      <c r="F57" s="3" t="s">
        <v>35</v>
      </c>
      <c r="G57" s="4" t="s">
        <v>36</v>
      </c>
      <c r="H57" s="72">
        <v>0</v>
      </c>
      <c r="I57" s="73">
        <v>0</v>
      </c>
      <c r="J57" s="72">
        <v>9665000</v>
      </c>
      <c r="K57" s="73">
        <v>0</v>
      </c>
      <c r="L57" s="1"/>
    </row>
    <row r="58" spans="1:12" ht="24" x14ac:dyDescent="0.25">
      <c r="A58" s="2" t="s">
        <v>31</v>
      </c>
      <c r="B58" s="2" t="s">
        <v>118</v>
      </c>
      <c r="C58" s="2">
        <v>46001</v>
      </c>
      <c r="D58" s="76" t="s">
        <v>119</v>
      </c>
      <c r="E58" s="3" t="s">
        <v>34</v>
      </c>
      <c r="F58" s="3" t="s">
        <v>35</v>
      </c>
      <c r="G58" s="4" t="s">
        <v>36</v>
      </c>
      <c r="H58" s="72">
        <v>0</v>
      </c>
      <c r="I58" s="73">
        <v>0</v>
      </c>
      <c r="J58" s="72">
        <v>60482000</v>
      </c>
      <c r="K58" s="73">
        <v>0</v>
      </c>
      <c r="L58" s="1"/>
    </row>
    <row r="59" spans="1:12" ht="24" x14ac:dyDescent="0.25">
      <c r="A59" s="2" t="s">
        <v>31</v>
      </c>
      <c r="B59" s="2" t="s">
        <v>120</v>
      </c>
      <c r="C59" s="2">
        <v>46001</v>
      </c>
      <c r="D59" s="76" t="s">
        <v>121</v>
      </c>
      <c r="E59" s="3" t="s">
        <v>34</v>
      </c>
      <c r="F59" s="3" t="s">
        <v>35</v>
      </c>
      <c r="G59" s="4" t="s">
        <v>36</v>
      </c>
      <c r="H59" s="72">
        <v>0</v>
      </c>
      <c r="I59" s="73">
        <v>0</v>
      </c>
      <c r="J59" s="72">
        <v>1598000</v>
      </c>
      <c r="K59" s="73">
        <v>0</v>
      </c>
      <c r="L59" s="1"/>
    </row>
    <row r="60" spans="1:12" ht="24" x14ac:dyDescent="0.25">
      <c r="A60" s="2" t="s">
        <v>31</v>
      </c>
      <c r="B60" s="2" t="s">
        <v>122</v>
      </c>
      <c r="C60" s="2">
        <v>46001</v>
      </c>
      <c r="D60" s="76" t="s">
        <v>123</v>
      </c>
      <c r="E60" s="3" t="s">
        <v>34</v>
      </c>
      <c r="F60" s="3" t="s">
        <v>35</v>
      </c>
      <c r="G60" s="4" t="s">
        <v>36</v>
      </c>
      <c r="H60" s="72">
        <v>0</v>
      </c>
      <c r="I60" s="73">
        <v>0</v>
      </c>
      <c r="J60" s="72">
        <v>10605000</v>
      </c>
      <c r="K60" s="73">
        <v>0</v>
      </c>
      <c r="L60" s="1"/>
    </row>
    <row r="61" spans="1:12" ht="24" x14ac:dyDescent="0.25">
      <c r="A61" s="2" t="s">
        <v>31</v>
      </c>
      <c r="B61" s="2" t="s">
        <v>124</v>
      </c>
      <c r="C61" s="2">
        <v>46001</v>
      </c>
      <c r="D61" s="76" t="s">
        <v>125</v>
      </c>
      <c r="E61" s="3" t="s">
        <v>34</v>
      </c>
      <c r="F61" s="3" t="s">
        <v>35</v>
      </c>
      <c r="G61" s="4" t="s">
        <v>36</v>
      </c>
      <c r="H61" s="72">
        <v>0</v>
      </c>
      <c r="I61" s="73">
        <v>0</v>
      </c>
      <c r="J61" s="72">
        <v>10225000</v>
      </c>
      <c r="K61" s="73">
        <v>0</v>
      </c>
      <c r="L61" s="1"/>
    </row>
    <row r="62" spans="1:12" ht="24" x14ac:dyDescent="0.25">
      <c r="A62" s="2" t="s">
        <v>31</v>
      </c>
      <c r="B62" s="2" t="s">
        <v>126</v>
      </c>
      <c r="C62" s="2">
        <v>46001</v>
      </c>
      <c r="D62" s="76" t="s">
        <v>127</v>
      </c>
      <c r="E62" s="3" t="s">
        <v>34</v>
      </c>
      <c r="F62" s="3" t="s">
        <v>35</v>
      </c>
      <c r="G62" s="4" t="s">
        <v>36</v>
      </c>
      <c r="H62" s="72">
        <v>0</v>
      </c>
      <c r="I62" s="73">
        <v>0</v>
      </c>
      <c r="J62" s="72">
        <v>10705000</v>
      </c>
      <c r="K62" s="73">
        <v>0</v>
      </c>
      <c r="L62" s="1"/>
    </row>
    <row r="63" spans="1:12" ht="24" x14ac:dyDescent="0.25">
      <c r="A63" s="2" t="s">
        <v>31</v>
      </c>
      <c r="B63" s="2" t="s">
        <v>128</v>
      </c>
      <c r="C63" s="2">
        <v>46001</v>
      </c>
      <c r="D63" s="76" t="s">
        <v>129</v>
      </c>
      <c r="E63" s="3" t="s">
        <v>34</v>
      </c>
      <c r="F63" s="3" t="s">
        <v>35</v>
      </c>
      <c r="G63" s="4" t="s">
        <v>36</v>
      </c>
      <c r="H63" s="72">
        <v>0</v>
      </c>
      <c r="I63" s="73">
        <v>0</v>
      </c>
      <c r="J63" s="72">
        <v>19301000</v>
      </c>
      <c r="K63" s="73">
        <v>0</v>
      </c>
      <c r="L63" s="1"/>
    </row>
    <row r="64" spans="1:12" ht="24" x14ac:dyDescent="0.25">
      <c r="A64" s="2" t="s">
        <v>31</v>
      </c>
      <c r="B64" s="2" t="s">
        <v>130</v>
      </c>
      <c r="C64" s="2">
        <v>46001</v>
      </c>
      <c r="D64" s="76" t="s">
        <v>131</v>
      </c>
      <c r="E64" s="3" t="s">
        <v>34</v>
      </c>
      <c r="F64" s="3" t="s">
        <v>35</v>
      </c>
      <c r="G64" s="4" t="s">
        <v>36</v>
      </c>
      <c r="H64" s="72">
        <v>0</v>
      </c>
      <c r="I64" s="73">
        <v>0</v>
      </c>
      <c r="J64" s="72">
        <v>43707000</v>
      </c>
      <c r="K64" s="73">
        <v>0</v>
      </c>
      <c r="L64" s="1"/>
    </row>
    <row r="65" spans="1:12" ht="24" x14ac:dyDescent="0.25">
      <c r="A65" s="2" t="s">
        <v>31</v>
      </c>
      <c r="B65" s="2" t="s">
        <v>132</v>
      </c>
      <c r="C65" s="2">
        <v>46001</v>
      </c>
      <c r="D65" s="76" t="s">
        <v>133</v>
      </c>
      <c r="E65" s="3" t="s">
        <v>34</v>
      </c>
      <c r="F65" s="3" t="s">
        <v>35</v>
      </c>
      <c r="G65" s="4" t="s">
        <v>36</v>
      </c>
      <c r="H65" s="72">
        <v>0</v>
      </c>
      <c r="I65" s="73">
        <v>0</v>
      </c>
      <c r="J65" s="72">
        <v>67784000</v>
      </c>
      <c r="K65" s="73">
        <v>0</v>
      </c>
      <c r="L65" s="1"/>
    </row>
    <row r="66" spans="1:12" ht="24" x14ac:dyDescent="0.25">
      <c r="A66" s="2" t="s">
        <v>31</v>
      </c>
      <c r="B66" s="2" t="s">
        <v>134</v>
      </c>
      <c r="C66" s="2">
        <v>46001</v>
      </c>
      <c r="D66" s="76" t="s">
        <v>135</v>
      </c>
      <c r="E66" s="3" t="s">
        <v>34</v>
      </c>
      <c r="F66" s="3" t="s">
        <v>35</v>
      </c>
      <c r="G66" s="4" t="s">
        <v>36</v>
      </c>
      <c r="H66" s="72">
        <v>0</v>
      </c>
      <c r="I66" s="73">
        <v>0</v>
      </c>
      <c r="J66" s="72">
        <v>4786000</v>
      </c>
      <c r="K66" s="73">
        <v>0</v>
      </c>
      <c r="L66" s="1"/>
    </row>
    <row r="67" spans="1:12" ht="24" x14ac:dyDescent="0.25">
      <c r="A67" s="2" t="s">
        <v>31</v>
      </c>
      <c r="B67" s="2" t="s">
        <v>136</v>
      </c>
      <c r="C67" s="2">
        <v>46001</v>
      </c>
      <c r="D67" s="76" t="s">
        <v>137</v>
      </c>
      <c r="E67" s="3" t="s">
        <v>34</v>
      </c>
      <c r="F67" s="3" t="s">
        <v>35</v>
      </c>
      <c r="G67" s="4" t="s">
        <v>36</v>
      </c>
      <c r="H67" s="72">
        <v>0</v>
      </c>
      <c r="I67" s="73">
        <v>0</v>
      </c>
      <c r="J67" s="72">
        <v>18000000</v>
      </c>
      <c r="K67" s="73">
        <v>0</v>
      </c>
      <c r="L67" s="1"/>
    </row>
    <row r="68" spans="1:12" ht="24" x14ac:dyDescent="0.25">
      <c r="A68" s="2" t="s">
        <v>31</v>
      </c>
      <c r="B68" s="2" t="s">
        <v>138</v>
      </c>
      <c r="C68" s="2">
        <v>46001</v>
      </c>
      <c r="D68" s="76" t="s">
        <v>139</v>
      </c>
      <c r="E68" s="3" t="s">
        <v>34</v>
      </c>
      <c r="F68" s="3" t="s">
        <v>35</v>
      </c>
      <c r="G68" s="4" t="s">
        <v>36</v>
      </c>
      <c r="H68" s="72">
        <v>0</v>
      </c>
      <c r="I68" s="73">
        <v>0</v>
      </c>
      <c r="J68" s="72">
        <v>6855000</v>
      </c>
      <c r="K68" s="73">
        <v>0</v>
      </c>
      <c r="L68" s="1"/>
    </row>
    <row r="69" spans="1:12" x14ac:dyDescent="0.25">
      <c r="A69" s="2" t="s">
        <v>31</v>
      </c>
      <c r="B69" s="2" t="s">
        <v>140</v>
      </c>
      <c r="C69" s="2">
        <v>46001</v>
      </c>
      <c r="D69" s="76" t="s">
        <v>141</v>
      </c>
      <c r="E69" s="3" t="s">
        <v>34</v>
      </c>
      <c r="F69" s="3" t="s">
        <v>142</v>
      </c>
      <c r="G69" s="4" t="s">
        <v>51</v>
      </c>
      <c r="H69" s="72">
        <v>0</v>
      </c>
      <c r="I69" s="73">
        <v>0</v>
      </c>
      <c r="J69" s="72">
        <v>250000000</v>
      </c>
      <c r="K69" s="73">
        <v>0</v>
      </c>
      <c r="L69" s="1"/>
    </row>
    <row r="70" spans="1:12" ht="24" x14ac:dyDescent="0.25">
      <c r="A70" s="2" t="s">
        <v>37</v>
      </c>
      <c r="B70" s="2" t="s">
        <v>143</v>
      </c>
      <c r="C70" s="2">
        <v>46001</v>
      </c>
      <c r="D70" s="76" t="s">
        <v>144</v>
      </c>
      <c r="E70" s="3" t="s">
        <v>34</v>
      </c>
      <c r="F70" s="3" t="s">
        <v>34</v>
      </c>
      <c r="G70" s="4" t="s">
        <v>145</v>
      </c>
      <c r="H70" s="72">
        <v>0</v>
      </c>
      <c r="I70" s="73">
        <v>0</v>
      </c>
      <c r="J70" s="72">
        <v>0</v>
      </c>
      <c r="K70" s="73">
        <v>250000000</v>
      </c>
      <c r="L70" s="1"/>
    </row>
    <row r="71" spans="1:12" x14ac:dyDescent="0.25">
      <c r="A71" s="14"/>
      <c r="B71" s="15"/>
      <c r="C71" s="14"/>
      <c r="D71" s="15" t="s">
        <v>1</v>
      </c>
      <c r="E71" s="15"/>
      <c r="F71" s="15"/>
      <c r="G71" s="16"/>
      <c r="H71" s="74">
        <v>0</v>
      </c>
      <c r="I71" s="74">
        <v>0</v>
      </c>
      <c r="J71" s="75">
        <v>837087751</v>
      </c>
      <c r="K71" s="75">
        <v>946753908</v>
      </c>
      <c r="L71" s="1"/>
    </row>
    <row r="72" spans="1:12" x14ac:dyDescent="0.25">
      <c r="A72" s="14"/>
      <c r="B72" s="15"/>
      <c r="C72" s="14"/>
      <c r="D72" s="15" t="s">
        <v>2</v>
      </c>
      <c r="E72" s="15"/>
      <c r="F72" s="15"/>
      <c r="G72" s="16"/>
      <c r="H72" s="74">
        <v>0</v>
      </c>
      <c r="I72" s="74">
        <v>0</v>
      </c>
      <c r="J72" s="75">
        <v>23336084458</v>
      </c>
      <c r="K72" s="75">
        <v>0</v>
      </c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7"/>
      <c r="I73" s="17"/>
      <c r="J73" s="18" t="s">
        <v>3</v>
      </c>
      <c r="K73" s="18"/>
      <c r="L73" s="1"/>
    </row>
    <row r="74" spans="1:12" ht="15.75" x14ac:dyDescent="0.25">
      <c r="A74" s="19" t="s">
        <v>4</v>
      </c>
      <c r="B74" s="20"/>
      <c r="C74" s="20"/>
      <c r="D74" s="19" t="s">
        <v>5</v>
      </c>
      <c r="E74" s="19"/>
      <c r="F74" s="19"/>
      <c r="G74" s="19"/>
      <c r="H74" s="20"/>
      <c r="I74" s="20"/>
      <c r="J74" s="21" t="s">
        <v>6</v>
      </c>
      <c r="K74" s="18"/>
      <c r="L74" s="1"/>
    </row>
    <row r="75" spans="1:12" x14ac:dyDescent="0.25">
      <c r="A75" s="22"/>
      <c r="B75" s="22"/>
      <c r="C75" s="1"/>
      <c r="D75" s="23"/>
      <c r="E75" s="23"/>
      <c r="F75" s="23"/>
      <c r="G75" s="24"/>
      <c r="H75" s="25"/>
      <c r="I75" s="25"/>
      <c r="J75" s="26"/>
      <c r="K75" s="1"/>
      <c r="L75" s="1"/>
    </row>
    <row r="76" spans="1:12" x14ac:dyDescent="0.25">
      <c r="A76" s="22"/>
      <c r="B76" s="22"/>
      <c r="C76" s="1"/>
      <c r="D76" s="23"/>
      <c r="E76" s="23"/>
      <c r="F76" s="23"/>
      <c r="G76" s="24"/>
      <c r="H76" s="25"/>
      <c r="I76" s="25"/>
      <c r="J76" s="26"/>
      <c r="K76" s="1"/>
      <c r="L76" s="1"/>
    </row>
    <row r="77" spans="1:12" x14ac:dyDescent="0.25">
      <c r="A77" s="22"/>
      <c r="B77" s="22"/>
      <c r="C77" s="1"/>
      <c r="D77" s="23"/>
      <c r="E77" s="23"/>
      <c r="F77" s="23"/>
      <c r="G77" s="24"/>
      <c r="H77" s="25"/>
      <c r="I77" s="25"/>
      <c r="J77" s="26"/>
      <c r="K77" s="1"/>
      <c r="L77" s="1"/>
    </row>
    <row r="78" spans="1:12" x14ac:dyDescent="0.25">
      <c r="A78" s="22"/>
      <c r="B78" s="22"/>
      <c r="C78" s="1"/>
      <c r="D78" s="23"/>
      <c r="E78" s="23"/>
      <c r="F78" s="23"/>
      <c r="G78" s="24"/>
      <c r="H78" s="25"/>
      <c r="I78" s="25"/>
      <c r="J78" s="26"/>
      <c r="K78" s="1"/>
      <c r="L78" s="1"/>
    </row>
    <row r="79" spans="1:12" ht="15.75" x14ac:dyDescent="0.25">
      <c r="A79" s="77" t="s">
        <v>34</v>
      </c>
      <c r="B79" s="20"/>
      <c r="C79" s="20"/>
      <c r="D79" s="27" t="s">
        <v>147</v>
      </c>
      <c r="E79" s="27"/>
      <c r="F79" s="27"/>
      <c r="G79" s="19"/>
      <c r="H79" s="19"/>
      <c r="I79" s="19"/>
      <c r="J79" s="28" t="s">
        <v>148</v>
      </c>
      <c r="K79" s="21"/>
      <c r="L79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"/>
  <sheetViews>
    <sheetView showGridLines="0" showZeros="0" tabSelected="1" topLeftCell="A48" zoomScalePageLayoutView="70" workbookViewId="0">
      <selection activeCell="H63" sqref="H63"/>
    </sheetView>
  </sheetViews>
  <sheetFormatPr defaultRowHeight="15" x14ac:dyDescent="0.25"/>
  <cols>
    <col min="1" max="1" width="6.140625" customWidth="1"/>
    <col min="2" max="2" width="10.7109375" customWidth="1"/>
    <col min="3" max="3" width="12.42578125" customWidth="1"/>
    <col min="4" max="4" width="35.7109375" customWidth="1"/>
    <col min="5" max="5" width="12.140625" customWidth="1"/>
    <col min="6" max="6" width="14.42578125" customWidth="1"/>
    <col min="7" max="7" width="6.5703125" customWidth="1"/>
    <col min="8" max="8" width="15.5703125" customWidth="1"/>
    <col min="9" max="9" width="14.28515625" customWidth="1"/>
  </cols>
  <sheetData>
    <row r="1" spans="1:9" x14ac:dyDescent="0.25">
      <c r="A1" s="29" t="s">
        <v>149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150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151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146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152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51"/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23445750615</v>
      </c>
      <c r="I10" s="59">
        <v>0</v>
      </c>
    </row>
    <row r="11" spans="1:9" ht="24" x14ac:dyDescent="0.25">
      <c r="A11" s="2" t="s">
        <v>31</v>
      </c>
      <c r="B11" s="2" t="s">
        <v>32</v>
      </c>
      <c r="C11" s="2">
        <v>46001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6460000</v>
      </c>
      <c r="I11" s="73">
        <v>0</v>
      </c>
    </row>
    <row r="12" spans="1:9" ht="48" x14ac:dyDescent="0.25">
      <c r="A12" s="2" t="s">
        <v>37</v>
      </c>
      <c r="B12" s="2" t="s">
        <v>38</v>
      </c>
      <c r="C12" s="2">
        <v>46001</v>
      </c>
      <c r="D12" s="76" t="s">
        <v>39</v>
      </c>
      <c r="E12" s="3" t="s">
        <v>40</v>
      </c>
      <c r="F12" s="3" t="s">
        <v>34</v>
      </c>
      <c r="G12" s="4" t="s">
        <v>41</v>
      </c>
      <c r="H12" s="72">
        <v>0</v>
      </c>
      <c r="I12" s="73">
        <v>900000</v>
      </c>
    </row>
    <row r="13" spans="1:9" ht="36" x14ac:dyDescent="0.25">
      <c r="A13" s="2" t="s">
        <v>37</v>
      </c>
      <c r="B13" s="2" t="s">
        <v>38</v>
      </c>
      <c r="C13" s="2">
        <v>46001</v>
      </c>
      <c r="D13" s="76" t="s">
        <v>42</v>
      </c>
      <c r="E13" s="3" t="s">
        <v>40</v>
      </c>
      <c r="F13" s="3" t="s">
        <v>34</v>
      </c>
      <c r="G13" s="4" t="s">
        <v>43</v>
      </c>
      <c r="H13" s="72">
        <v>0</v>
      </c>
      <c r="I13" s="73">
        <v>572000</v>
      </c>
    </row>
    <row r="14" spans="1:9" x14ac:dyDescent="0.25">
      <c r="A14" s="2" t="s">
        <v>37</v>
      </c>
      <c r="B14" s="2" t="s">
        <v>44</v>
      </c>
      <c r="C14" s="2">
        <v>46001</v>
      </c>
      <c r="D14" s="76" t="s">
        <v>45</v>
      </c>
      <c r="E14" s="3" t="s">
        <v>46</v>
      </c>
      <c r="F14" s="3" t="s">
        <v>34</v>
      </c>
      <c r="G14" s="4" t="s">
        <v>47</v>
      </c>
      <c r="H14" s="72">
        <v>0</v>
      </c>
      <c r="I14" s="73">
        <v>500000000</v>
      </c>
    </row>
    <row r="15" spans="1:9" ht="24" x14ac:dyDescent="0.25">
      <c r="A15" s="2" t="s">
        <v>37</v>
      </c>
      <c r="B15" s="2" t="s">
        <v>48</v>
      </c>
      <c r="C15" s="2">
        <v>46001</v>
      </c>
      <c r="D15" s="76" t="s">
        <v>49</v>
      </c>
      <c r="E15" s="3" t="s">
        <v>50</v>
      </c>
      <c r="F15" s="3" t="s">
        <v>34</v>
      </c>
      <c r="G15" s="4" t="s">
        <v>51</v>
      </c>
      <c r="H15" s="72">
        <v>0</v>
      </c>
      <c r="I15" s="73">
        <v>187500000</v>
      </c>
    </row>
    <row r="16" spans="1:9" ht="36" x14ac:dyDescent="0.25">
      <c r="A16" s="2" t="s">
        <v>37</v>
      </c>
      <c r="B16" s="2" t="s">
        <v>52</v>
      </c>
      <c r="C16" s="2">
        <v>46001</v>
      </c>
      <c r="D16" s="76" t="s">
        <v>53</v>
      </c>
      <c r="E16" s="3" t="s">
        <v>35</v>
      </c>
      <c r="F16" s="3" t="s">
        <v>34</v>
      </c>
      <c r="G16" s="4" t="s">
        <v>36</v>
      </c>
      <c r="H16" s="72">
        <v>0</v>
      </c>
      <c r="I16" s="73">
        <v>909231</v>
      </c>
    </row>
    <row r="17" spans="1:9" ht="48" x14ac:dyDescent="0.25">
      <c r="A17" s="2" t="s">
        <v>37</v>
      </c>
      <c r="B17" s="2" t="s">
        <v>54</v>
      </c>
      <c r="C17" s="2">
        <v>46001</v>
      </c>
      <c r="D17" s="76" t="s">
        <v>55</v>
      </c>
      <c r="E17" s="3" t="s">
        <v>35</v>
      </c>
      <c r="F17" s="3" t="s">
        <v>34</v>
      </c>
      <c r="G17" s="4" t="s">
        <v>36</v>
      </c>
      <c r="H17" s="72">
        <v>0</v>
      </c>
      <c r="I17" s="73">
        <v>1730000</v>
      </c>
    </row>
    <row r="18" spans="1:9" ht="24" x14ac:dyDescent="0.25">
      <c r="A18" s="2" t="s">
        <v>31</v>
      </c>
      <c r="B18" s="2" t="s">
        <v>56</v>
      </c>
      <c r="C18" s="2">
        <v>46001</v>
      </c>
      <c r="D18" s="76" t="s">
        <v>57</v>
      </c>
      <c r="E18" s="3" t="s">
        <v>34</v>
      </c>
      <c r="F18" s="3" t="s">
        <v>35</v>
      </c>
      <c r="G18" s="4" t="s">
        <v>36</v>
      </c>
      <c r="H18" s="72">
        <v>5828000</v>
      </c>
      <c r="I18" s="73">
        <v>0</v>
      </c>
    </row>
    <row r="19" spans="1:9" ht="48" x14ac:dyDescent="0.25">
      <c r="A19" s="2" t="s">
        <v>37</v>
      </c>
      <c r="B19" s="2" t="s">
        <v>58</v>
      </c>
      <c r="C19" s="2">
        <v>46001</v>
      </c>
      <c r="D19" s="76" t="s">
        <v>59</v>
      </c>
      <c r="E19" s="3" t="s">
        <v>35</v>
      </c>
      <c r="F19" s="3" t="s">
        <v>34</v>
      </c>
      <c r="G19" s="4" t="s">
        <v>36</v>
      </c>
      <c r="H19" s="72">
        <v>0</v>
      </c>
      <c r="I19" s="73">
        <v>5142677</v>
      </c>
    </row>
    <row r="20" spans="1:9" ht="24" x14ac:dyDescent="0.25">
      <c r="A20" s="2" t="s">
        <v>31</v>
      </c>
      <c r="B20" s="2" t="s">
        <v>60</v>
      </c>
      <c r="C20" s="2">
        <v>46001</v>
      </c>
      <c r="D20" s="76" t="s">
        <v>61</v>
      </c>
      <c r="E20" s="3" t="s">
        <v>34</v>
      </c>
      <c r="F20" s="3" t="s">
        <v>35</v>
      </c>
      <c r="G20" s="4" t="s">
        <v>36</v>
      </c>
      <c r="H20" s="72">
        <v>2800000</v>
      </c>
      <c r="I20" s="73">
        <v>0</v>
      </c>
    </row>
    <row r="21" spans="1:9" ht="24" x14ac:dyDescent="0.25">
      <c r="A21" s="2" t="s">
        <v>31</v>
      </c>
      <c r="B21" s="2" t="s">
        <v>62</v>
      </c>
      <c r="C21" s="2">
        <v>46001</v>
      </c>
      <c r="D21" s="76" t="s">
        <v>63</v>
      </c>
      <c r="E21" s="3" t="s">
        <v>34</v>
      </c>
      <c r="F21" s="3" t="s">
        <v>35</v>
      </c>
      <c r="G21" s="4" t="s">
        <v>36</v>
      </c>
      <c r="H21" s="72">
        <v>9282000</v>
      </c>
      <c r="I21" s="73">
        <v>0</v>
      </c>
    </row>
    <row r="22" spans="1:9" ht="24" x14ac:dyDescent="0.25">
      <c r="A22" s="2" t="s">
        <v>31</v>
      </c>
      <c r="B22" s="2" t="s">
        <v>64</v>
      </c>
      <c r="C22" s="2">
        <v>46001</v>
      </c>
      <c r="D22" s="76" t="s">
        <v>65</v>
      </c>
      <c r="E22" s="3" t="s">
        <v>34</v>
      </c>
      <c r="F22" s="3" t="s">
        <v>35</v>
      </c>
      <c r="G22" s="4" t="s">
        <v>36</v>
      </c>
      <c r="H22" s="72">
        <v>19476000</v>
      </c>
      <c r="I22" s="73">
        <v>0</v>
      </c>
    </row>
    <row r="23" spans="1:9" ht="24" x14ac:dyDescent="0.25">
      <c r="A23" s="2" t="s">
        <v>31</v>
      </c>
      <c r="B23" s="2" t="s">
        <v>66</v>
      </c>
      <c r="C23" s="2">
        <v>46001</v>
      </c>
      <c r="D23" s="76" t="s">
        <v>67</v>
      </c>
      <c r="E23" s="3" t="s">
        <v>34</v>
      </c>
      <c r="F23" s="3" t="s">
        <v>68</v>
      </c>
      <c r="G23" s="4" t="s">
        <v>36</v>
      </c>
      <c r="H23" s="72">
        <v>24201000</v>
      </c>
      <c r="I23" s="73">
        <v>0</v>
      </c>
    </row>
    <row r="24" spans="1:9" ht="24" x14ac:dyDescent="0.25">
      <c r="A24" s="2" t="s">
        <v>31</v>
      </c>
      <c r="B24" s="2" t="s">
        <v>69</v>
      </c>
      <c r="C24" s="2">
        <v>46001</v>
      </c>
      <c r="D24" s="76" t="s">
        <v>70</v>
      </c>
      <c r="E24" s="3" t="s">
        <v>34</v>
      </c>
      <c r="F24" s="3" t="s">
        <v>35</v>
      </c>
      <c r="G24" s="4" t="s">
        <v>36</v>
      </c>
      <c r="H24" s="72">
        <v>5476000</v>
      </c>
      <c r="I24" s="73">
        <v>0</v>
      </c>
    </row>
    <row r="25" spans="1:9" x14ac:dyDescent="0.25">
      <c r="A25" s="2" t="s">
        <v>31</v>
      </c>
      <c r="B25" s="2" t="s">
        <v>71</v>
      </c>
      <c r="C25" s="2">
        <v>46001</v>
      </c>
      <c r="D25" s="76" t="s">
        <v>72</v>
      </c>
      <c r="E25" s="3" t="s">
        <v>34</v>
      </c>
      <c r="F25" s="3" t="s">
        <v>73</v>
      </c>
      <c r="G25" s="4" t="s">
        <v>36</v>
      </c>
      <c r="H25" s="72">
        <v>20855799</v>
      </c>
      <c r="I25" s="73">
        <v>0</v>
      </c>
    </row>
    <row r="26" spans="1:9" ht="24" x14ac:dyDescent="0.25">
      <c r="A26" s="2" t="s">
        <v>31</v>
      </c>
      <c r="B26" s="2" t="s">
        <v>74</v>
      </c>
      <c r="C26" s="2">
        <v>46001</v>
      </c>
      <c r="D26" s="76" t="s">
        <v>75</v>
      </c>
      <c r="E26" s="3" t="s">
        <v>34</v>
      </c>
      <c r="F26" s="3" t="s">
        <v>76</v>
      </c>
      <c r="G26" s="4" t="s">
        <v>36</v>
      </c>
      <c r="H26" s="72">
        <v>4051952</v>
      </c>
      <c r="I26" s="73">
        <v>0</v>
      </c>
    </row>
    <row r="27" spans="1:9" ht="24" x14ac:dyDescent="0.25">
      <c r="A27" s="2" t="s">
        <v>31</v>
      </c>
      <c r="B27" s="2" t="s">
        <v>77</v>
      </c>
      <c r="C27" s="2">
        <v>46001</v>
      </c>
      <c r="D27" s="76" t="s">
        <v>78</v>
      </c>
      <c r="E27" s="3" t="s">
        <v>34</v>
      </c>
      <c r="F27" s="3" t="s">
        <v>35</v>
      </c>
      <c r="G27" s="4" t="s">
        <v>36</v>
      </c>
      <c r="H27" s="72">
        <v>3370000</v>
      </c>
      <c r="I27" s="73">
        <v>0</v>
      </c>
    </row>
    <row r="28" spans="1:9" ht="24" x14ac:dyDescent="0.25">
      <c r="A28" s="2" t="s">
        <v>31</v>
      </c>
      <c r="B28" s="2" t="s">
        <v>79</v>
      </c>
      <c r="C28" s="2">
        <v>46001</v>
      </c>
      <c r="D28" s="76" t="s">
        <v>80</v>
      </c>
      <c r="E28" s="3" t="s">
        <v>34</v>
      </c>
      <c r="F28" s="3" t="s">
        <v>35</v>
      </c>
      <c r="G28" s="4" t="s">
        <v>36</v>
      </c>
      <c r="H28" s="72">
        <v>4207000</v>
      </c>
      <c r="I28" s="73">
        <v>0</v>
      </c>
    </row>
    <row r="29" spans="1:9" ht="24" x14ac:dyDescent="0.25">
      <c r="A29" s="2" t="s">
        <v>31</v>
      </c>
      <c r="B29" s="2" t="s">
        <v>81</v>
      </c>
      <c r="C29" s="2">
        <v>46001</v>
      </c>
      <c r="D29" s="76" t="s">
        <v>82</v>
      </c>
      <c r="E29" s="3" t="s">
        <v>34</v>
      </c>
      <c r="F29" s="3" t="s">
        <v>35</v>
      </c>
      <c r="G29" s="4" t="s">
        <v>36</v>
      </c>
      <c r="H29" s="72">
        <v>14247000</v>
      </c>
      <c r="I29" s="73">
        <v>0</v>
      </c>
    </row>
    <row r="30" spans="1:9" ht="24" x14ac:dyDescent="0.25">
      <c r="A30" s="2" t="s">
        <v>31</v>
      </c>
      <c r="B30" s="2" t="s">
        <v>83</v>
      </c>
      <c r="C30" s="2">
        <v>46001</v>
      </c>
      <c r="D30" s="76" t="s">
        <v>84</v>
      </c>
      <c r="E30" s="3" t="s">
        <v>34</v>
      </c>
      <c r="F30" s="3" t="s">
        <v>35</v>
      </c>
      <c r="G30" s="4" t="s">
        <v>36</v>
      </c>
      <c r="H30" s="72">
        <v>65100000</v>
      </c>
      <c r="I30" s="73">
        <v>0</v>
      </c>
    </row>
    <row r="31" spans="1:9" ht="24" x14ac:dyDescent="0.25">
      <c r="A31" s="2" t="s">
        <v>31</v>
      </c>
      <c r="B31" s="2" t="s">
        <v>85</v>
      </c>
      <c r="C31" s="2">
        <v>46001</v>
      </c>
      <c r="D31" s="76" t="s">
        <v>86</v>
      </c>
      <c r="E31" s="3" t="s">
        <v>34</v>
      </c>
      <c r="F31" s="3" t="s">
        <v>35</v>
      </c>
      <c r="G31" s="4" t="s">
        <v>36</v>
      </c>
      <c r="H31" s="72">
        <v>1145000</v>
      </c>
      <c r="I31" s="73">
        <v>0</v>
      </c>
    </row>
    <row r="32" spans="1:9" ht="24" x14ac:dyDescent="0.25">
      <c r="A32" s="2" t="s">
        <v>31</v>
      </c>
      <c r="B32" s="2" t="s">
        <v>87</v>
      </c>
      <c r="C32" s="2">
        <v>46001</v>
      </c>
      <c r="D32" s="76" t="s">
        <v>88</v>
      </c>
      <c r="E32" s="3" t="s">
        <v>34</v>
      </c>
      <c r="F32" s="3" t="s">
        <v>35</v>
      </c>
      <c r="G32" s="4" t="s">
        <v>36</v>
      </c>
      <c r="H32" s="72">
        <v>13310000</v>
      </c>
      <c r="I32" s="73">
        <v>0</v>
      </c>
    </row>
    <row r="33" spans="1:9" ht="24" x14ac:dyDescent="0.25">
      <c r="A33" s="2" t="s">
        <v>31</v>
      </c>
      <c r="B33" s="2" t="s">
        <v>89</v>
      </c>
      <c r="C33" s="2">
        <v>46001</v>
      </c>
      <c r="D33" s="76" t="s">
        <v>90</v>
      </c>
      <c r="E33" s="3" t="s">
        <v>34</v>
      </c>
      <c r="F33" s="3" t="s">
        <v>35</v>
      </c>
      <c r="G33" s="4" t="s">
        <v>36</v>
      </c>
      <c r="H33" s="72">
        <v>2898000</v>
      </c>
      <c r="I33" s="73">
        <v>0</v>
      </c>
    </row>
    <row r="34" spans="1:9" ht="24" x14ac:dyDescent="0.25">
      <c r="A34" s="2" t="s">
        <v>31</v>
      </c>
      <c r="B34" s="2" t="s">
        <v>91</v>
      </c>
      <c r="C34" s="2">
        <v>46001</v>
      </c>
      <c r="D34" s="76" t="s">
        <v>92</v>
      </c>
      <c r="E34" s="3" t="s">
        <v>34</v>
      </c>
      <c r="F34" s="3" t="s">
        <v>35</v>
      </c>
      <c r="G34" s="4" t="s">
        <v>36</v>
      </c>
      <c r="H34" s="72">
        <v>3338000</v>
      </c>
      <c r="I34" s="73">
        <v>0</v>
      </c>
    </row>
    <row r="35" spans="1:9" ht="24" x14ac:dyDescent="0.25">
      <c r="A35" s="2" t="s">
        <v>31</v>
      </c>
      <c r="B35" s="2" t="s">
        <v>93</v>
      </c>
      <c r="C35" s="2">
        <v>46001</v>
      </c>
      <c r="D35" s="76" t="s">
        <v>94</v>
      </c>
      <c r="E35" s="3" t="s">
        <v>34</v>
      </c>
      <c r="F35" s="3" t="s">
        <v>95</v>
      </c>
      <c r="G35" s="4" t="s">
        <v>36</v>
      </c>
      <c r="H35" s="72">
        <v>2833000</v>
      </c>
      <c r="I35" s="73">
        <v>0</v>
      </c>
    </row>
    <row r="36" spans="1:9" ht="24" x14ac:dyDescent="0.25">
      <c r="A36" s="2" t="s">
        <v>31</v>
      </c>
      <c r="B36" s="2" t="s">
        <v>96</v>
      </c>
      <c r="C36" s="2">
        <v>46001</v>
      </c>
      <c r="D36" s="76" t="s">
        <v>97</v>
      </c>
      <c r="E36" s="3" t="s">
        <v>34</v>
      </c>
      <c r="F36" s="3" t="s">
        <v>98</v>
      </c>
      <c r="G36" s="4" t="s">
        <v>36</v>
      </c>
      <c r="H36" s="72">
        <v>2107000</v>
      </c>
      <c r="I36" s="73">
        <v>0</v>
      </c>
    </row>
    <row r="37" spans="1:9" ht="24" x14ac:dyDescent="0.25">
      <c r="A37" s="2" t="s">
        <v>31</v>
      </c>
      <c r="B37" s="2" t="s">
        <v>99</v>
      </c>
      <c r="C37" s="2">
        <v>46001</v>
      </c>
      <c r="D37" s="76" t="s">
        <v>100</v>
      </c>
      <c r="E37" s="3" t="s">
        <v>34</v>
      </c>
      <c r="F37" s="3" t="s">
        <v>35</v>
      </c>
      <c r="G37" s="4" t="s">
        <v>36</v>
      </c>
      <c r="H37" s="72">
        <v>15838000</v>
      </c>
      <c r="I37" s="73">
        <v>0</v>
      </c>
    </row>
    <row r="38" spans="1:9" ht="24" x14ac:dyDescent="0.25">
      <c r="A38" s="2" t="s">
        <v>31</v>
      </c>
      <c r="B38" s="2" t="s">
        <v>101</v>
      </c>
      <c r="C38" s="2">
        <v>46001</v>
      </c>
      <c r="D38" s="76" t="s">
        <v>102</v>
      </c>
      <c r="E38" s="3" t="s">
        <v>34</v>
      </c>
      <c r="F38" s="3" t="s">
        <v>35</v>
      </c>
      <c r="G38" s="4" t="s">
        <v>36</v>
      </c>
      <c r="H38" s="72">
        <v>11375000</v>
      </c>
      <c r="I38" s="73">
        <v>0</v>
      </c>
    </row>
    <row r="39" spans="1:9" ht="24" x14ac:dyDescent="0.25">
      <c r="A39" s="2" t="s">
        <v>31</v>
      </c>
      <c r="B39" s="2" t="s">
        <v>103</v>
      </c>
      <c r="C39" s="2">
        <v>46001</v>
      </c>
      <c r="D39" s="76" t="s">
        <v>104</v>
      </c>
      <c r="E39" s="3" t="s">
        <v>34</v>
      </c>
      <c r="F39" s="3" t="s">
        <v>35</v>
      </c>
      <c r="G39" s="4" t="s">
        <v>36</v>
      </c>
      <c r="H39" s="72">
        <v>8917000</v>
      </c>
      <c r="I39" s="73">
        <v>0</v>
      </c>
    </row>
    <row r="40" spans="1:9" ht="24" x14ac:dyDescent="0.25">
      <c r="A40" s="2" t="s">
        <v>31</v>
      </c>
      <c r="B40" s="2" t="s">
        <v>105</v>
      </c>
      <c r="C40" s="2">
        <v>46001</v>
      </c>
      <c r="D40" s="76" t="s">
        <v>106</v>
      </c>
      <c r="E40" s="3" t="s">
        <v>34</v>
      </c>
      <c r="F40" s="3" t="s">
        <v>35</v>
      </c>
      <c r="G40" s="4" t="s">
        <v>36</v>
      </c>
      <c r="H40" s="72">
        <v>33342000</v>
      </c>
      <c r="I40" s="73">
        <v>0</v>
      </c>
    </row>
    <row r="41" spans="1:9" ht="24" x14ac:dyDescent="0.25">
      <c r="A41" s="2" t="s">
        <v>31</v>
      </c>
      <c r="B41" s="2" t="s">
        <v>107</v>
      </c>
      <c r="C41" s="2">
        <v>46001</v>
      </c>
      <c r="D41" s="76" t="s">
        <v>108</v>
      </c>
      <c r="E41" s="3" t="s">
        <v>34</v>
      </c>
      <c r="F41" s="3" t="s">
        <v>35</v>
      </c>
      <c r="G41" s="4" t="s">
        <v>36</v>
      </c>
      <c r="H41" s="72">
        <v>2735000</v>
      </c>
      <c r="I41" s="73">
        <v>0</v>
      </c>
    </row>
    <row r="42" spans="1:9" ht="24" x14ac:dyDescent="0.25">
      <c r="A42" s="2" t="s">
        <v>31</v>
      </c>
      <c r="B42" s="2" t="s">
        <v>109</v>
      </c>
      <c r="C42" s="2">
        <v>46001</v>
      </c>
      <c r="D42" s="76" t="s">
        <v>110</v>
      </c>
      <c r="E42" s="3" t="s">
        <v>34</v>
      </c>
      <c r="F42" s="3" t="s">
        <v>111</v>
      </c>
      <c r="G42" s="4" t="s">
        <v>36</v>
      </c>
      <c r="H42" s="72">
        <v>17477000</v>
      </c>
      <c r="I42" s="73">
        <v>0</v>
      </c>
    </row>
    <row r="43" spans="1:9" ht="24" x14ac:dyDescent="0.25">
      <c r="A43" s="2" t="s">
        <v>31</v>
      </c>
      <c r="B43" s="2" t="s">
        <v>112</v>
      </c>
      <c r="C43" s="2">
        <v>46001</v>
      </c>
      <c r="D43" s="76" t="s">
        <v>113</v>
      </c>
      <c r="E43" s="3" t="s">
        <v>34</v>
      </c>
      <c r="F43" s="3" t="s">
        <v>35</v>
      </c>
      <c r="G43" s="4" t="s">
        <v>36</v>
      </c>
      <c r="H43" s="72">
        <v>17578000</v>
      </c>
      <c r="I43" s="73">
        <v>0</v>
      </c>
    </row>
    <row r="44" spans="1:9" ht="24" x14ac:dyDescent="0.25">
      <c r="A44" s="2" t="s">
        <v>31</v>
      </c>
      <c r="B44" s="2" t="s">
        <v>114</v>
      </c>
      <c r="C44" s="2">
        <v>46001</v>
      </c>
      <c r="D44" s="76" t="s">
        <v>115</v>
      </c>
      <c r="E44" s="3" t="s">
        <v>34</v>
      </c>
      <c r="F44" s="3" t="s">
        <v>35</v>
      </c>
      <c r="G44" s="4" t="s">
        <v>36</v>
      </c>
      <c r="H44" s="72">
        <v>5127000</v>
      </c>
      <c r="I44" s="73">
        <v>0</v>
      </c>
    </row>
    <row r="45" spans="1:9" ht="24" x14ac:dyDescent="0.25">
      <c r="A45" s="2" t="s">
        <v>31</v>
      </c>
      <c r="B45" s="2" t="s">
        <v>116</v>
      </c>
      <c r="C45" s="2">
        <v>46001</v>
      </c>
      <c r="D45" s="76" t="s">
        <v>117</v>
      </c>
      <c r="E45" s="3" t="s">
        <v>34</v>
      </c>
      <c r="F45" s="3" t="s">
        <v>35</v>
      </c>
      <c r="G45" s="4" t="s">
        <v>36</v>
      </c>
      <c r="H45" s="72">
        <v>9665000</v>
      </c>
      <c r="I45" s="73">
        <v>0</v>
      </c>
    </row>
    <row r="46" spans="1:9" ht="24" x14ac:dyDescent="0.25">
      <c r="A46" s="2" t="s">
        <v>31</v>
      </c>
      <c r="B46" s="2" t="s">
        <v>118</v>
      </c>
      <c r="C46" s="2">
        <v>46001</v>
      </c>
      <c r="D46" s="76" t="s">
        <v>119</v>
      </c>
      <c r="E46" s="3" t="s">
        <v>34</v>
      </c>
      <c r="F46" s="3" t="s">
        <v>35</v>
      </c>
      <c r="G46" s="4" t="s">
        <v>36</v>
      </c>
      <c r="H46" s="72">
        <v>60482000</v>
      </c>
      <c r="I46" s="73">
        <v>0</v>
      </c>
    </row>
    <row r="47" spans="1:9" ht="24" x14ac:dyDescent="0.25">
      <c r="A47" s="2" t="s">
        <v>31</v>
      </c>
      <c r="B47" s="2" t="s">
        <v>120</v>
      </c>
      <c r="C47" s="2">
        <v>46001</v>
      </c>
      <c r="D47" s="76" t="s">
        <v>121</v>
      </c>
      <c r="E47" s="3" t="s">
        <v>34</v>
      </c>
      <c r="F47" s="3" t="s">
        <v>35</v>
      </c>
      <c r="G47" s="4" t="s">
        <v>36</v>
      </c>
      <c r="H47" s="72">
        <v>1598000</v>
      </c>
      <c r="I47" s="73">
        <v>0</v>
      </c>
    </row>
    <row r="48" spans="1:9" ht="24" x14ac:dyDescent="0.25">
      <c r="A48" s="2" t="s">
        <v>31</v>
      </c>
      <c r="B48" s="2" t="s">
        <v>122</v>
      </c>
      <c r="C48" s="2">
        <v>46001</v>
      </c>
      <c r="D48" s="76" t="s">
        <v>123</v>
      </c>
      <c r="E48" s="3" t="s">
        <v>34</v>
      </c>
      <c r="F48" s="3" t="s">
        <v>35</v>
      </c>
      <c r="G48" s="4" t="s">
        <v>36</v>
      </c>
      <c r="H48" s="72">
        <v>10605000</v>
      </c>
      <c r="I48" s="73">
        <v>0</v>
      </c>
    </row>
    <row r="49" spans="1:9" ht="24" x14ac:dyDescent="0.25">
      <c r="A49" s="2" t="s">
        <v>31</v>
      </c>
      <c r="B49" s="2" t="s">
        <v>124</v>
      </c>
      <c r="C49" s="2">
        <v>46001</v>
      </c>
      <c r="D49" s="76" t="s">
        <v>125</v>
      </c>
      <c r="E49" s="3" t="s">
        <v>34</v>
      </c>
      <c r="F49" s="3" t="s">
        <v>35</v>
      </c>
      <c r="G49" s="4" t="s">
        <v>36</v>
      </c>
      <c r="H49" s="72">
        <v>10225000</v>
      </c>
      <c r="I49" s="73">
        <v>0</v>
      </c>
    </row>
    <row r="50" spans="1:9" ht="24" x14ac:dyDescent="0.25">
      <c r="A50" s="2" t="s">
        <v>31</v>
      </c>
      <c r="B50" s="2" t="s">
        <v>126</v>
      </c>
      <c r="C50" s="2">
        <v>46001</v>
      </c>
      <c r="D50" s="76" t="s">
        <v>127</v>
      </c>
      <c r="E50" s="3" t="s">
        <v>34</v>
      </c>
      <c r="F50" s="3" t="s">
        <v>35</v>
      </c>
      <c r="G50" s="4" t="s">
        <v>36</v>
      </c>
      <c r="H50" s="72">
        <v>10705000</v>
      </c>
      <c r="I50" s="73">
        <v>0</v>
      </c>
    </row>
    <row r="51" spans="1:9" ht="24" x14ac:dyDescent="0.25">
      <c r="A51" s="2" t="s">
        <v>31</v>
      </c>
      <c r="B51" s="2" t="s">
        <v>128</v>
      </c>
      <c r="C51" s="2">
        <v>46001</v>
      </c>
      <c r="D51" s="76" t="s">
        <v>129</v>
      </c>
      <c r="E51" s="3" t="s">
        <v>34</v>
      </c>
      <c r="F51" s="3" t="s">
        <v>35</v>
      </c>
      <c r="G51" s="4" t="s">
        <v>36</v>
      </c>
      <c r="H51" s="72">
        <v>19301000</v>
      </c>
      <c r="I51" s="73">
        <v>0</v>
      </c>
    </row>
    <row r="52" spans="1:9" ht="36" x14ac:dyDescent="0.25">
      <c r="A52" s="2" t="s">
        <v>31</v>
      </c>
      <c r="B52" s="2" t="s">
        <v>130</v>
      </c>
      <c r="C52" s="2">
        <v>46001</v>
      </c>
      <c r="D52" s="76" t="s">
        <v>131</v>
      </c>
      <c r="E52" s="3" t="s">
        <v>34</v>
      </c>
      <c r="F52" s="3" t="s">
        <v>35</v>
      </c>
      <c r="G52" s="4" t="s">
        <v>36</v>
      </c>
      <c r="H52" s="72">
        <v>43707000</v>
      </c>
      <c r="I52" s="73">
        <v>0</v>
      </c>
    </row>
    <row r="53" spans="1:9" ht="36" x14ac:dyDescent="0.25">
      <c r="A53" s="2" t="s">
        <v>31</v>
      </c>
      <c r="B53" s="2" t="s">
        <v>132</v>
      </c>
      <c r="C53" s="2">
        <v>46001</v>
      </c>
      <c r="D53" s="76" t="s">
        <v>133</v>
      </c>
      <c r="E53" s="3" t="s">
        <v>34</v>
      </c>
      <c r="F53" s="3" t="s">
        <v>35</v>
      </c>
      <c r="G53" s="4" t="s">
        <v>36</v>
      </c>
      <c r="H53" s="72">
        <v>67784000</v>
      </c>
      <c r="I53" s="73">
        <v>0</v>
      </c>
    </row>
    <row r="54" spans="1:9" ht="24" x14ac:dyDescent="0.25">
      <c r="A54" s="2" t="s">
        <v>31</v>
      </c>
      <c r="B54" s="2" t="s">
        <v>134</v>
      </c>
      <c r="C54" s="2">
        <v>46001</v>
      </c>
      <c r="D54" s="76" t="s">
        <v>135</v>
      </c>
      <c r="E54" s="3" t="s">
        <v>34</v>
      </c>
      <c r="F54" s="3" t="s">
        <v>35</v>
      </c>
      <c r="G54" s="4" t="s">
        <v>36</v>
      </c>
      <c r="H54" s="72">
        <v>4786000</v>
      </c>
      <c r="I54" s="73">
        <v>0</v>
      </c>
    </row>
    <row r="55" spans="1:9" ht="24" x14ac:dyDescent="0.25">
      <c r="A55" s="2" t="s">
        <v>31</v>
      </c>
      <c r="B55" s="2" t="s">
        <v>136</v>
      </c>
      <c r="C55" s="2">
        <v>46001</v>
      </c>
      <c r="D55" s="76" t="s">
        <v>137</v>
      </c>
      <c r="E55" s="3" t="s">
        <v>34</v>
      </c>
      <c r="F55" s="3" t="s">
        <v>35</v>
      </c>
      <c r="G55" s="4" t="s">
        <v>36</v>
      </c>
      <c r="H55" s="72">
        <v>18000000</v>
      </c>
      <c r="I55" s="73">
        <v>0</v>
      </c>
    </row>
    <row r="56" spans="1:9" ht="24" x14ac:dyDescent="0.25">
      <c r="A56" s="2" t="s">
        <v>31</v>
      </c>
      <c r="B56" s="2" t="s">
        <v>138</v>
      </c>
      <c r="C56" s="2">
        <v>46001</v>
      </c>
      <c r="D56" s="76" t="s">
        <v>139</v>
      </c>
      <c r="E56" s="3" t="s">
        <v>34</v>
      </c>
      <c r="F56" s="3" t="s">
        <v>35</v>
      </c>
      <c r="G56" s="4" t="s">
        <v>36</v>
      </c>
      <c r="H56" s="72">
        <v>6855000</v>
      </c>
      <c r="I56" s="73">
        <v>0</v>
      </c>
    </row>
    <row r="57" spans="1:9" ht="24" x14ac:dyDescent="0.25">
      <c r="A57" s="2" t="s">
        <v>31</v>
      </c>
      <c r="B57" s="2" t="s">
        <v>140</v>
      </c>
      <c r="C57" s="2">
        <v>46001</v>
      </c>
      <c r="D57" s="76" t="s">
        <v>141</v>
      </c>
      <c r="E57" s="3" t="s">
        <v>34</v>
      </c>
      <c r="F57" s="3" t="s">
        <v>142</v>
      </c>
      <c r="G57" s="4" t="s">
        <v>51</v>
      </c>
      <c r="H57" s="72">
        <v>250000000</v>
      </c>
      <c r="I57" s="73">
        <v>0</v>
      </c>
    </row>
    <row r="58" spans="1:9" s="84" customFormat="1" ht="36" x14ac:dyDescent="0.25">
      <c r="A58" s="78" t="s">
        <v>31</v>
      </c>
      <c r="B58" s="78" t="s">
        <v>153</v>
      </c>
      <c r="C58" s="78">
        <v>46001</v>
      </c>
      <c r="D58" s="79" t="s">
        <v>154</v>
      </c>
      <c r="E58" s="80" t="s">
        <v>34</v>
      </c>
      <c r="F58" s="80" t="s">
        <v>156</v>
      </c>
      <c r="G58" s="81" t="s">
        <v>155</v>
      </c>
      <c r="H58" s="82">
        <v>200000</v>
      </c>
      <c r="I58" s="83"/>
    </row>
    <row r="59" spans="1:9" s="84" customFormat="1" ht="25.5" customHeight="1" x14ac:dyDescent="0.25">
      <c r="A59" s="78" t="s">
        <v>31</v>
      </c>
      <c r="B59" s="78" t="s">
        <v>159</v>
      </c>
      <c r="C59" s="78">
        <v>46001</v>
      </c>
      <c r="D59" s="79" t="s">
        <v>157</v>
      </c>
      <c r="E59" s="80"/>
      <c r="F59" s="80" t="s">
        <v>158</v>
      </c>
      <c r="G59" s="81" t="s">
        <v>36</v>
      </c>
      <c r="H59" s="82">
        <v>2000000</v>
      </c>
      <c r="I59" s="83"/>
    </row>
    <row r="60" spans="1:9" s="84" customFormat="1" ht="24" x14ac:dyDescent="0.25">
      <c r="A60" s="78" t="s">
        <v>31</v>
      </c>
      <c r="B60" s="78" t="s">
        <v>160</v>
      </c>
      <c r="C60" s="78">
        <v>46001</v>
      </c>
      <c r="D60" s="79" t="s">
        <v>161</v>
      </c>
      <c r="E60" s="80"/>
      <c r="F60" s="80" t="s">
        <v>162</v>
      </c>
      <c r="G60" s="81" t="s">
        <v>36</v>
      </c>
      <c r="H60" s="82">
        <v>500000</v>
      </c>
      <c r="I60" s="83"/>
    </row>
    <row r="61" spans="1:9" ht="24" x14ac:dyDescent="0.25">
      <c r="A61" s="2" t="s">
        <v>37</v>
      </c>
      <c r="B61" s="2" t="s">
        <v>143</v>
      </c>
      <c r="C61" s="2">
        <v>46001</v>
      </c>
      <c r="D61" s="76" t="s">
        <v>144</v>
      </c>
      <c r="E61" s="3" t="s">
        <v>34</v>
      </c>
      <c r="F61" s="3" t="s">
        <v>34</v>
      </c>
      <c r="G61" s="4" t="s">
        <v>145</v>
      </c>
      <c r="H61" s="72">
        <v>0</v>
      </c>
      <c r="I61" s="73">
        <v>250000000</v>
      </c>
    </row>
    <row r="62" spans="1:9" ht="18" customHeight="1" x14ac:dyDescent="0.25">
      <c r="A62" s="14"/>
      <c r="B62" s="15"/>
      <c r="C62" s="14"/>
      <c r="D62" s="15" t="s">
        <v>1</v>
      </c>
      <c r="E62" s="15"/>
      <c r="F62" s="15"/>
      <c r="G62" s="16"/>
      <c r="H62" s="75">
        <f>SUM(H11:H61)</f>
        <v>839787751</v>
      </c>
      <c r="I62" s="75">
        <f>SUM(I11:I61)</f>
        <v>946753908</v>
      </c>
    </row>
    <row r="63" spans="1:9" x14ac:dyDescent="0.25">
      <c r="A63" s="14"/>
      <c r="B63" s="15"/>
      <c r="C63" s="14"/>
      <c r="D63" s="15" t="s">
        <v>2</v>
      </c>
      <c r="E63" s="15"/>
      <c r="F63" s="15"/>
      <c r="G63" s="16"/>
      <c r="H63" s="75">
        <f>H10+H62-I62</f>
        <v>23338784458</v>
      </c>
      <c r="I63" s="75">
        <v>0</v>
      </c>
    </row>
    <row r="64" spans="1:9" x14ac:dyDescent="0.25">
      <c r="A64" s="1"/>
      <c r="B64" s="1"/>
      <c r="C64" s="1"/>
      <c r="D64" s="1"/>
      <c r="E64" s="1"/>
      <c r="F64" s="1"/>
      <c r="G64" s="1"/>
      <c r="H64" s="18" t="s">
        <v>3</v>
      </c>
      <c r="I64" s="18"/>
    </row>
    <row r="65" spans="1:9" ht="15.75" x14ac:dyDescent="0.25">
      <c r="A65" s="19" t="s">
        <v>4</v>
      </c>
      <c r="B65" s="20"/>
      <c r="C65" s="20"/>
      <c r="D65" s="19" t="s">
        <v>5</v>
      </c>
      <c r="E65" s="19"/>
      <c r="F65" s="19"/>
      <c r="G65" s="19"/>
      <c r="H65" s="21" t="s">
        <v>6</v>
      </c>
      <c r="I65" s="18"/>
    </row>
    <row r="66" spans="1:9" x14ac:dyDescent="0.25">
      <c r="A66" s="22"/>
      <c r="B66" s="22"/>
      <c r="C66" s="1"/>
      <c r="D66" s="23"/>
      <c r="E66" s="23"/>
      <c r="F66" s="23"/>
      <c r="G66" s="24"/>
      <c r="H66" s="26"/>
      <c r="I66" s="1"/>
    </row>
    <row r="67" spans="1:9" x14ac:dyDescent="0.25">
      <c r="A67" s="22"/>
      <c r="B67" s="22"/>
      <c r="C67" s="1"/>
      <c r="D67" s="23"/>
      <c r="E67" s="23"/>
      <c r="F67" s="23"/>
      <c r="G67" s="24"/>
      <c r="H67" s="26"/>
      <c r="I67" s="1"/>
    </row>
    <row r="68" spans="1:9" x14ac:dyDescent="0.25">
      <c r="A68" s="22"/>
      <c r="B68" s="22"/>
      <c r="C68" s="1"/>
      <c r="D68" s="23"/>
      <c r="E68" s="23"/>
      <c r="F68" s="23"/>
      <c r="G68" s="24"/>
      <c r="H68" s="26"/>
      <c r="I68" s="1"/>
    </row>
    <row r="69" spans="1:9" x14ac:dyDescent="0.25">
      <c r="A69" s="22"/>
      <c r="B69" s="22"/>
      <c r="C69" s="1"/>
      <c r="D69" s="23"/>
      <c r="E69" s="23"/>
      <c r="F69" s="23"/>
      <c r="G69" s="24"/>
      <c r="H69" s="26"/>
      <c r="I69" s="1"/>
    </row>
    <row r="70" spans="1:9" ht="15.75" x14ac:dyDescent="0.25">
      <c r="A70" s="77" t="s">
        <v>34</v>
      </c>
      <c r="B70" s="20"/>
      <c r="C70" s="20"/>
      <c r="D70" s="27" t="s">
        <v>147</v>
      </c>
      <c r="E70" s="27"/>
      <c r="F70" s="27"/>
      <c r="G70" s="19"/>
      <c r="H70" s="28" t="s">
        <v>148</v>
      </c>
      <c r="I70" s="21"/>
    </row>
  </sheetData>
  <autoFilter ref="A10:I10" xr:uid="{00000000-0001-0000-0100-000000000000}"/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2026-05-12T03:29:26Z</dcterms:modified>
  <cp:category/>
</cp:coreProperties>
</file>