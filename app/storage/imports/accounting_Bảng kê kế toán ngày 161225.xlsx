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6-12\"/>
    </mc:Choice>
  </mc:AlternateContent>
  <xr:revisionPtr revIDLastSave="0" documentId="8_{1812B4CF-7E69-42DF-A053-490792859955}" xr6:coauthVersionLast="47" xr6:coauthVersionMax="47" xr10:uidLastSave="{00000000-0000-0000-0000-000000000000}"/>
  <bookViews>
    <workbookView xWindow="-120" yWindow="-120" windowWidth="29040" windowHeight="15840" xr2:uid="{4C9B06DB-250D-4CA1-B0F1-D4CE6298A2B8}"/>
  </bookViews>
  <sheets>
    <sheet name="16.1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2" i="1"/>
  <c r="E48" i="1"/>
  <c r="D48" i="1"/>
  <c r="C48" i="1"/>
  <c r="B48" i="1"/>
  <c r="H47" i="1"/>
  <c r="F47" i="1"/>
  <c r="F46" i="1"/>
  <c r="H46" i="1" s="1"/>
  <c r="H45" i="1"/>
  <c r="F45" i="1"/>
  <c r="G43" i="1"/>
  <c r="G48" i="1" s="1"/>
  <c r="G59" i="1" s="1"/>
  <c r="F43" i="1"/>
  <c r="H43" i="1" s="1"/>
  <c r="F42" i="1"/>
  <c r="H42" i="1" s="1"/>
  <c r="F41" i="1"/>
  <c r="H41" i="1" s="1"/>
  <c r="H40" i="1"/>
  <c r="F40" i="1"/>
  <c r="F39" i="1"/>
  <c r="H39" i="1" s="1"/>
  <c r="H38" i="1"/>
  <c r="F38" i="1"/>
  <c r="F37" i="1"/>
  <c r="H37" i="1" s="1"/>
  <c r="F36" i="1"/>
  <c r="H36" i="1" s="1"/>
  <c r="F35" i="1"/>
  <c r="H35" i="1" s="1"/>
  <c r="H34" i="1"/>
  <c r="F34" i="1"/>
  <c r="F33" i="1"/>
  <c r="H33" i="1" s="1"/>
  <c r="H32" i="1"/>
  <c r="F32" i="1"/>
  <c r="F31" i="1"/>
  <c r="H31" i="1" s="1"/>
  <c r="F30" i="1"/>
  <c r="H30" i="1" s="1"/>
  <c r="F29" i="1"/>
  <c r="H29" i="1" s="1"/>
  <c r="H28" i="1"/>
  <c r="F28" i="1"/>
  <c r="F27" i="1"/>
  <c r="H27" i="1" s="1"/>
  <c r="H26" i="1"/>
  <c r="F26" i="1"/>
  <c r="F25" i="1"/>
  <c r="H25" i="1" s="1"/>
  <c r="F24" i="1"/>
  <c r="H24" i="1" s="1"/>
  <c r="F23" i="1"/>
  <c r="H23" i="1" s="1"/>
  <c r="H22" i="1"/>
  <c r="F22" i="1"/>
  <c r="F21" i="1"/>
  <c r="H21" i="1" s="1"/>
  <c r="F20" i="1"/>
  <c r="H20" i="1" s="1"/>
  <c r="F19" i="1"/>
  <c r="H19" i="1" s="1"/>
  <c r="F18" i="1"/>
  <c r="H18" i="1" s="1"/>
  <c r="F17" i="1"/>
  <c r="H17" i="1" s="1"/>
  <c r="H16" i="1"/>
  <c r="F16" i="1"/>
  <c r="F15" i="1"/>
  <c r="H15" i="1" s="1"/>
  <c r="H14" i="1"/>
  <c r="F14" i="1"/>
  <c r="F13" i="1"/>
  <c r="H13" i="1" s="1"/>
  <c r="F12" i="1"/>
  <c r="H12" i="1" s="1"/>
  <c r="F11" i="1"/>
  <c r="H11" i="1" s="1"/>
  <c r="H10" i="1"/>
  <c r="F10" i="1"/>
  <c r="F9" i="1"/>
  <c r="H9" i="1" s="1"/>
  <c r="F8" i="1"/>
  <c r="H8" i="1" s="1"/>
  <c r="F7" i="1"/>
  <c r="H7" i="1" s="1"/>
  <c r="F6" i="1"/>
  <c r="H6" i="1" s="1"/>
  <c r="F5" i="1"/>
  <c r="H5" i="1" s="1"/>
  <c r="H4" i="1"/>
  <c r="F4" i="1"/>
  <c r="F48" i="1" s="1"/>
  <c r="H48" i="1" l="1"/>
</calcChain>
</file>

<file path=xl/sharedStrings.xml><?xml version="1.0" encoding="utf-8"?>
<sst xmlns="http://schemas.openxmlformats.org/spreadsheetml/2006/main" count="67" uniqueCount="67">
  <si>
    <t>THEO DÕI THU TIỀN NGÀY 16/12/25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</si>
  <si>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</si>
  <si>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</si>
  <si>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</si>
  <si>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</si>
  <si>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</si>
  <si>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</si>
  <si>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</si>
  <si>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</si>
  <si>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</si>
  <si>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10244-Nguyễn Thị Thanh Nhã</t>
  </si>
  <si>
    <t>10277-Nguyễn Thị Mai Phương</t>
  </si>
  <si>
    <t>10285-Trần Thị Thanh Mai</t>
  </si>
  <si>
    <t>BN Nguyễn Ngọc Huyền Trân đóng tạm ứng 2.000.000, gồm chuyển khoản 500.000, tiền mặt 1.500.000</t>
  </si>
  <si>
    <t>10286-Phạm Thị Hải</t>
  </si>
  <si>
    <t>10300-Nguyễn Thị Ngọc Hậu</t>
  </si>
  <si>
    <t>10309-Phạm Thị Hằng</t>
  </si>
  <si>
    <t>123-Lê Thị Thu Hường</t>
  </si>
  <si>
    <t>167-Nguyễn Thị Kim Tuyền</t>
  </si>
  <si>
    <t>169-Đoàn Thị Ánh Nguyệt</t>
  </si>
  <si>
    <t>196-Nguyễn Thị Kim Oanh</t>
  </si>
  <si>
    <t>219-Lê Thị Thu Hà</t>
  </si>
  <si>
    <t>24-Phan Thị Huế</t>
  </si>
  <si>
    <t>252-Nguyễn Thị Thùy Trang</t>
  </si>
  <si>
    <t>BN Hoàng Thị Thanh Trang BLVP ra viện tạm ứng dư, kế toán đã chi hoàn</t>
  </si>
  <si>
    <t>25-Nguyễn Hoàng Lâm</t>
  </si>
  <si>
    <t>293-Lê Thị Lệ</t>
  </si>
  <si>
    <t>303-Huỳnh Thị Hạnh</t>
  </si>
  <si>
    <t>305-Trần Ngọc Trung</t>
  </si>
  <si>
    <t>483-Nguyễn Thị Thu Trinh</t>
  </si>
  <si>
    <t>504-Vũ Thị Bích Ngọc</t>
  </si>
  <si>
    <t>505-Lê Thị Hồng Duyên</t>
  </si>
  <si>
    <t>51-Nguyễn Thị Thảo</t>
  </si>
  <si>
    <t>620-Vũ Thị Hải Yến</t>
  </si>
  <si>
    <t>623-Trần Thị Hoa</t>
  </si>
  <si>
    <t>636-Nguyễn Thị Quệ</t>
  </si>
  <si>
    <t>638-Nguyễn Thị Ánh Nguyệt</t>
  </si>
  <si>
    <t>BN Nguyễn Văn Điều khoa CTCH ra viện tạm ứng dư, kế toán đã chi hoàn</t>
  </si>
  <si>
    <t>641-Nguyễn Hải Anh</t>
  </si>
  <si>
    <t>648-Lê Thị Chinh</t>
  </si>
  <si>
    <t>696-Nguyễn Thị Kim Thơ</t>
  </si>
  <si>
    <t>700-Ksor H' Lợi</t>
  </si>
  <si>
    <t>702-Huỳnh Thị Tường Vy</t>
  </si>
  <si>
    <t>707-Hoàng Thị Thanh Huyền</t>
  </si>
  <si>
    <t>70-Nguyễn Thị Hạnh</t>
  </si>
  <si>
    <t>710-Hà Thúy Viên</t>
  </si>
  <si>
    <t>723-Nguyễn Thị Thu Trang</t>
  </si>
  <si>
    <t>74-Đoàn Thị Hiếu</t>
  </si>
  <si>
    <t>759-Đoàn Thị Thu Uyên</t>
  </si>
  <si>
    <t>782-Nông Thị Thảo</t>
  </si>
  <si>
    <t>81-Nguyễn Vũ Thị Hòa</t>
  </si>
  <si>
    <t>86-Nguyễn Thị Song Nhàn</t>
  </si>
  <si>
    <t>BN Tăng Văn Hiển khoa HSTC-CĐ ra viện tạm ứng dư, kế toán đã chi hoàn</t>
  </si>
  <si>
    <t>Phát sinh viện phí 57.480.000 - điều dưỡng nộp ngày 17/12</t>
  </si>
  <si>
    <t>95-Đặng Ngọc Diễm Thy</t>
  </si>
  <si>
    <t>Phạm Thị Thúy Quỳnh</t>
  </si>
  <si>
    <t>BN PANG KIMTIN ĐV TNT ngày 13/12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</si>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</sst>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vertical="center" wrapText="1"/>
    </xf>
    <xf numFmtId="165" fontId="5" fillId="0" borderId="2" xfId="1" applyNumberFormat="1" applyFont="1" applyFill="1" applyBorder="1" applyAlignment="1">
      <alignment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QUYNH%20NHU%202025/10.%20MINH%20LO/BC%20THU%20CHI/Thang%2012/161225.xlsx" TargetMode="External"/><Relationship Id="rId2" Type="http://schemas.openxmlformats.org/officeDocument/2006/relationships/externalLinkPath" Target="file:///D:\QUYNH%20NHU%202025\10.%20MINH%20LO\BC%20THU%20CHI\Thang%2012\161225.xlsx" TargetMode="External"/><Relationship Id="rId1" Type="http://schemas.openxmlformats.org/officeDocument/2006/relationships/externalLinkPath" Target="/QUYNH%20NHU%202025/10.%20MINH%20LO/BC%20THU%20CHI/Thang%2012/16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1"/>
      <sheetName val="Sheet1"/>
    </sheetNames>
    <sheetDataSet>
      <sheetData sheetId="0">
        <row r="539">
          <cell r="U539">
            <v>336858.24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BD8E-A51B-4D19-B779-A01C3D98FD5A}">
  <dimension ref="A1:I59"/>
  <sheetViews>
    <sheetView tabSelected="1" workbookViewId="0">
      <selection activeCell="F68" sqref="F68"/>
    </sheetView>
  </sheetViews>
  <sheetFormatPr defaultRowHeight="15.75" x14ac:dyDescent="0.25"/>
  <cols>
    <col min="1" max="1" width="28.25" style="2" customWidth="1"/>
    <col min="2" max="2" width="14.375" style="2" customWidth="1"/>
    <col min="3" max="5" width="14.375" style="2" hidden="1" customWidth="1"/>
    <col min="6" max="8" width="14.375" style="2" customWidth="1"/>
    <col min="9" max="9" width="36.375" style="2" customWidth="1"/>
    <col min="10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66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25639619.550000001</v>
      </c>
      <c r="C4" s="13">
        <v>132456.28</v>
      </c>
      <c r="D4" s="13">
        <v>9733385.1999999993</v>
      </c>
      <c r="E4" s="14"/>
      <c r="F4" s="13">
        <f>+C4+D4+E4</f>
        <v>9865841.4799999986</v>
      </c>
      <c r="G4" s="15">
        <v>15774000</v>
      </c>
      <c r="H4" s="15">
        <f>+B4-F4-G4</f>
        <v>-221.92999999783933</v>
      </c>
      <c r="I4" s="16"/>
    </row>
    <row r="5" spans="1:9" ht="16.5" x14ac:dyDescent="0.25">
      <c r="A5" s="11" t="s">
        <v>10</v>
      </c>
      <c r="B5" s="14">
        <v>7624602.4000000004</v>
      </c>
      <c r="C5" s="13">
        <v>2212301.2000000002</v>
      </c>
      <c r="D5" s="13">
        <v>5412301.2000000002</v>
      </c>
      <c r="E5" s="14"/>
      <c r="F5" s="13">
        <f t="shared" ref="F5:F47" si="0">+C5+D5+E5</f>
        <v>7624602.4000000004</v>
      </c>
      <c r="G5" s="15"/>
      <c r="H5" s="15">
        <f t="shared" ref="H5:H47" si="1">+B5-F5-G5</f>
        <v>0</v>
      </c>
      <c r="I5" s="16"/>
    </row>
    <row r="6" spans="1:9" ht="16.5" x14ac:dyDescent="0.25">
      <c r="A6" s="11" t="s">
        <v>11</v>
      </c>
      <c r="B6" s="14">
        <v>20771923</v>
      </c>
      <c r="C6" s="13">
        <v>0</v>
      </c>
      <c r="D6" s="13">
        <v>1942517.52</v>
      </c>
      <c r="E6" s="14"/>
      <c r="F6" s="13">
        <f t="shared" si="0"/>
        <v>1942517.52</v>
      </c>
      <c r="G6" s="15">
        <v>18829000</v>
      </c>
      <c r="H6" s="15">
        <f t="shared" si="1"/>
        <v>405.48000000044703</v>
      </c>
      <c r="I6" s="13"/>
    </row>
    <row r="7" spans="1:9" ht="49.5" x14ac:dyDescent="0.25">
      <c r="A7" s="17" t="s">
        <v>12</v>
      </c>
      <c r="B7" s="18">
        <v>15605314.6</v>
      </c>
      <c r="C7" s="19">
        <v>0</v>
      </c>
      <c r="D7" s="19">
        <v>9029865.0600000005</v>
      </c>
      <c r="E7" s="18"/>
      <c r="F7" s="13">
        <f t="shared" si="0"/>
        <v>9029865.0600000005</v>
      </c>
      <c r="G7" s="20">
        <v>6075000</v>
      </c>
      <c r="H7" s="15">
        <f t="shared" si="1"/>
        <v>500449.53999999911</v>
      </c>
      <c r="I7" s="13" t="s">
        <v>13</v>
      </c>
    </row>
    <row r="8" spans="1:9" ht="16.5" hidden="1" x14ac:dyDescent="0.25">
      <c r="A8" s="11" t="s">
        <v>14</v>
      </c>
      <c r="B8" s="14">
        <v>0</v>
      </c>
      <c r="C8" s="13">
        <v>0</v>
      </c>
      <c r="D8" s="13">
        <v>0</v>
      </c>
      <c r="E8" s="14"/>
      <c r="F8" s="13">
        <f t="shared" si="0"/>
        <v>0</v>
      </c>
      <c r="G8" s="15"/>
      <c r="H8" s="15">
        <f t="shared" si="1"/>
        <v>0</v>
      </c>
      <c r="I8" s="13"/>
    </row>
    <row r="9" spans="1:9" ht="16.5" x14ac:dyDescent="0.25">
      <c r="A9" s="11" t="s">
        <v>15</v>
      </c>
      <c r="B9" s="14">
        <v>24965708.780000001</v>
      </c>
      <c r="C9" s="13">
        <v>0</v>
      </c>
      <c r="D9" s="13">
        <v>4474525</v>
      </c>
      <c r="E9" s="14"/>
      <c r="F9" s="13">
        <f t="shared" si="0"/>
        <v>4474525</v>
      </c>
      <c r="G9" s="15">
        <v>20491000</v>
      </c>
      <c r="H9" s="15">
        <f t="shared" si="1"/>
        <v>183.78000000119209</v>
      </c>
      <c r="I9" s="16"/>
    </row>
    <row r="10" spans="1:9" ht="16.5" x14ac:dyDescent="0.25">
      <c r="A10" s="11" t="s">
        <v>16</v>
      </c>
      <c r="B10" s="14">
        <v>18205000</v>
      </c>
      <c r="C10" s="13">
        <v>560000</v>
      </c>
      <c r="D10" s="13">
        <v>2533000</v>
      </c>
      <c r="E10" s="14"/>
      <c r="F10" s="13">
        <f t="shared" si="0"/>
        <v>3093000</v>
      </c>
      <c r="G10" s="15">
        <v>15112000</v>
      </c>
      <c r="H10" s="15">
        <f t="shared" si="1"/>
        <v>0</v>
      </c>
      <c r="I10" s="13"/>
    </row>
    <row r="11" spans="1:9" ht="16.5" x14ac:dyDescent="0.25">
      <c r="A11" s="11" t="s">
        <v>17</v>
      </c>
      <c r="B11" s="14">
        <v>10915229.57</v>
      </c>
      <c r="C11" s="13">
        <v>0</v>
      </c>
      <c r="D11" s="13">
        <v>2117340.63</v>
      </c>
      <c r="E11" s="14"/>
      <c r="F11" s="13">
        <f t="shared" si="0"/>
        <v>2117340.63</v>
      </c>
      <c r="G11" s="15">
        <v>8798000</v>
      </c>
      <c r="H11" s="15">
        <f t="shared" si="1"/>
        <v>-111.0599999986589</v>
      </c>
      <c r="I11" s="13"/>
    </row>
    <row r="12" spans="1:9" ht="16.5" x14ac:dyDescent="0.25">
      <c r="A12" s="17" t="s">
        <v>18</v>
      </c>
      <c r="B12" s="18">
        <v>2070590.34</v>
      </c>
      <c r="C12" s="19">
        <v>990040.4</v>
      </c>
      <c r="D12" s="19">
        <v>0</v>
      </c>
      <c r="E12" s="18"/>
      <c r="F12" s="13">
        <f t="shared" si="0"/>
        <v>990040.4</v>
      </c>
      <c r="G12" s="20">
        <v>1080000</v>
      </c>
      <c r="H12" s="15">
        <f t="shared" si="1"/>
        <v>549.93999999994412</v>
      </c>
      <c r="I12" s="13"/>
    </row>
    <row r="13" spans="1:9" ht="16.5" x14ac:dyDescent="0.25">
      <c r="A13" s="11" t="s">
        <v>19</v>
      </c>
      <c r="B13" s="14">
        <v>22860192.620000001</v>
      </c>
      <c r="C13" s="13">
        <v>0</v>
      </c>
      <c r="D13" s="13">
        <v>5235897.55</v>
      </c>
      <c r="E13" s="14"/>
      <c r="F13" s="13">
        <f t="shared" si="0"/>
        <v>5235897.55</v>
      </c>
      <c r="G13" s="15">
        <v>17624000</v>
      </c>
      <c r="H13" s="15">
        <f t="shared" si="1"/>
        <v>295.07000000029802</v>
      </c>
      <c r="I13" s="13"/>
    </row>
    <row r="14" spans="1:9" ht="16.5" x14ac:dyDescent="0.25">
      <c r="A14" s="11" t="s">
        <v>20</v>
      </c>
      <c r="B14" s="14">
        <v>6135164.71</v>
      </c>
      <c r="C14" s="13">
        <v>1000000</v>
      </c>
      <c r="D14" s="13">
        <v>3931454.16</v>
      </c>
      <c r="E14" s="14"/>
      <c r="F14" s="13">
        <f t="shared" si="0"/>
        <v>4931454.16</v>
      </c>
      <c r="G14" s="15">
        <v>1203000</v>
      </c>
      <c r="H14" s="15">
        <f t="shared" si="1"/>
        <v>710.54999999981374</v>
      </c>
      <c r="I14" s="16"/>
    </row>
    <row r="15" spans="1:9" ht="16.5" x14ac:dyDescent="0.25">
      <c r="A15" s="11" t="s">
        <v>21</v>
      </c>
      <c r="B15" s="14">
        <v>3959857.88</v>
      </c>
      <c r="C15" s="13">
        <v>0</v>
      </c>
      <c r="D15" s="13">
        <v>600000</v>
      </c>
      <c r="E15" s="14"/>
      <c r="F15" s="13">
        <f t="shared" si="0"/>
        <v>600000</v>
      </c>
      <c r="G15" s="15">
        <v>3360000</v>
      </c>
      <c r="H15" s="15">
        <f t="shared" si="1"/>
        <v>-142.12000000011176</v>
      </c>
      <c r="I15" s="13"/>
    </row>
    <row r="16" spans="1:9" ht="16.5" x14ac:dyDescent="0.25">
      <c r="A16" s="11" t="s">
        <v>22</v>
      </c>
      <c r="B16" s="14">
        <v>5170110.32</v>
      </c>
      <c r="C16" s="13">
        <v>0</v>
      </c>
      <c r="D16" s="13">
        <v>1101000</v>
      </c>
      <c r="E16" s="14"/>
      <c r="F16" s="13">
        <f t="shared" si="0"/>
        <v>1101000</v>
      </c>
      <c r="G16" s="15">
        <v>4069000</v>
      </c>
      <c r="H16" s="15">
        <f t="shared" si="1"/>
        <v>110.32000000029802</v>
      </c>
      <c r="I16" s="13"/>
    </row>
    <row r="17" spans="1:9" ht="33" x14ac:dyDescent="0.25">
      <c r="A17" s="17" t="s">
        <v>23</v>
      </c>
      <c r="B17" s="18">
        <v>8005546.9500000002</v>
      </c>
      <c r="C17" s="19">
        <v>0</v>
      </c>
      <c r="D17" s="19">
        <v>9485706.2100000009</v>
      </c>
      <c r="E17" s="18"/>
      <c r="F17" s="13">
        <f t="shared" si="0"/>
        <v>9485706.2100000009</v>
      </c>
      <c r="G17" s="20"/>
      <c r="H17" s="15">
        <f t="shared" si="1"/>
        <v>-1480159.2600000007</v>
      </c>
      <c r="I17" s="13" t="s">
        <v>24</v>
      </c>
    </row>
    <row r="18" spans="1:9" ht="16.5" x14ac:dyDescent="0.25">
      <c r="A18" s="11" t="s">
        <v>25</v>
      </c>
      <c r="B18" s="14">
        <v>50704912.399999999</v>
      </c>
      <c r="C18" s="13">
        <v>0</v>
      </c>
      <c r="D18" s="13">
        <v>23664050.719999999</v>
      </c>
      <c r="E18" s="14"/>
      <c r="F18" s="13">
        <f>+C18+D18+E18+'[1]Sheet 1'!U539</f>
        <v>24000908.959999997</v>
      </c>
      <c r="G18" s="15">
        <v>26704000</v>
      </c>
      <c r="H18" s="15">
        <f t="shared" si="1"/>
        <v>3.4400000013411045</v>
      </c>
      <c r="I18" s="13"/>
    </row>
    <row r="19" spans="1:9" ht="16.5" x14ac:dyDescent="0.25">
      <c r="A19" s="11" t="s">
        <v>26</v>
      </c>
      <c r="B19" s="14">
        <v>153949015.47</v>
      </c>
      <c r="C19" s="13">
        <v>0</v>
      </c>
      <c r="D19" s="13">
        <v>42478094.520000003</v>
      </c>
      <c r="E19" s="14"/>
      <c r="F19" s="13">
        <f t="shared" si="0"/>
        <v>42478094.520000003</v>
      </c>
      <c r="G19" s="15">
        <v>111471000</v>
      </c>
      <c r="H19" s="15">
        <f t="shared" si="1"/>
        <v>-79.050000011920929</v>
      </c>
      <c r="I19" s="16"/>
    </row>
    <row r="20" spans="1:9" ht="16.5" x14ac:dyDescent="0.25">
      <c r="A20" s="11" t="s">
        <v>27</v>
      </c>
      <c r="B20" s="14">
        <v>26398196.25</v>
      </c>
      <c r="C20" s="13">
        <v>0</v>
      </c>
      <c r="D20" s="13">
        <v>5243524</v>
      </c>
      <c r="E20" s="14"/>
      <c r="F20" s="13">
        <f t="shared" si="0"/>
        <v>5243524</v>
      </c>
      <c r="G20" s="15">
        <v>21154000</v>
      </c>
      <c r="H20" s="15">
        <f t="shared" si="1"/>
        <v>672.25</v>
      </c>
      <c r="I20" s="16"/>
    </row>
    <row r="21" spans="1:9" ht="16.5" hidden="1" x14ac:dyDescent="0.25">
      <c r="A21" s="11" t="s">
        <v>28</v>
      </c>
      <c r="B21" s="14">
        <v>0</v>
      </c>
      <c r="C21" s="13">
        <v>0</v>
      </c>
      <c r="D21" s="13">
        <v>0</v>
      </c>
      <c r="E21" s="14"/>
      <c r="F21" s="13">
        <f t="shared" si="0"/>
        <v>0</v>
      </c>
      <c r="G21" s="15"/>
      <c r="H21" s="15">
        <f t="shared" si="1"/>
        <v>0</v>
      </c>
      <c r="I21" s="16"/>
    </row>
    <row r="22" spans="1:9" ht="16.5" x14ac:dyDescent="0.25">
      <c r="A22" s="11" t="s">
        <v>29</v>
      </c>
      <c r="B22" s="14">
        <v>14105144.390000001</v>
      </c>
      <c r="C22" s="13">
        <v>0</v>
      </c>
      <c r="D22" s="13">
        <v>5202253.6100000003</v>
      </c>
      <c r="E22" s="14"/>
      <c r="F22" s="13">
        <f t="shared" si="0"/>
        <v>5202253.6100000003</v>
      </c>
      <c r="G22" s="15">
        <v>8903000</v>
      </c>
      <c r="H22" s="15">
        <f t="shared" si="1"/>
        <v>-109.21999999880791</v>
      </c>
      <c r="I22" s="13"/>
    </row>
    <row r="23" spans="1:9" ht="16.5" x14ac:dyDescent="0.25">
      <c r="A23" s="11" t="s">
        <v>30</v>
      </c>
      <c r="B23" s="14">
        <v>21958442.77</v>
      </c>
      <c r="C23" s="13">
        <v>0</v>
      </c>
      <c r="D23" s="13">
        <v>8857576.8300000001</v>
      </c>
      <c r="E23" s="14"/>
      <c r="F23" s="13">
        <f t="shared" si="0"/>
        <v>8857576.8300000001</v>
      </c>
      <c r="G23" s="15">
        <v>13100000</v>
      </c>
      <c r="H23" s="15">
        <f t="shared" si="1"/>
        <v>865.93999999947846</v>
      </c>
      <c r="I23" s="16"/>
    </row>
    <row r="24" spans="1:9" ht="16.5" x14ac:dyDescent="0.25">
      <c r="A24" s="11" t="s">
        <v>31</v>
      </c>
      <c r="B24" s="14">
        <v>11806344</v>
      </c>
      <c r="C24" s="13">
        <v>0</v>
      </c>
      <c r="D24" s="13">
        <v>2101751.12</v>
      </c>
      <c r="E24" s="14"/>
      <c r="F24" s="13">
        <f t="shared" si="0"/>
        <v>2101751.12</v>
      </c>
      <c r="G24" s="15">
        <v>9704000</v>
      </c>
      <c r="H24" s="15">
        <f t="shared" si="1"/>
        <v>592.87999999895692</v>
      </c>
      <c r="I24" s="16"/>
    </row>
    <row r="25" spans="1:9" ht="16.5" x14ac:dyDescent="0.25">
      <c r="A25" s="11" t="s">
        <v>32</v>
      </c>
      <c r="B25" s="14">
        <v>41002229.450000003</v>
      </c>
      <c r="C25" s="13">
        <v>0</v>
      </c>
      <c r="D25" s="13">
        <v>26918963.399999999</v>
      </c>
      <c r="E25" s="14"/>
      <c r="F25" s="13">
        <f t="shared" si="0"/>
        <v>26918963.399999999</v>
      </c>
      <c r="G25" s="15">
        <v>14083000</v>
      </c>
      <c r="H25" s="15">
        <f t="shared" si="1"/>
        <v>266.05000000447035</v>
      </c>
      <c r="I25" s="16"/>
    </row>
    <row r="26" spans="1:9" ht="16.5" x14ac:dyDescent="0.25">
      <c r="A26" s="11" t="s">
        <v>33</v>
      </c>
      <c r="B26" s="14">
        <v>43761224.130000003</v>
      </c>
      <c r="C26" s="13">
        <v>0</v>
      </c>
      <c r="D26" s="13">
        <v>20000000</v>
      </c>
      <c r="E26" s="14"/>
      <c r="F26" s="13">
        <f t="shared" si="0"/>
        <v>20000000</v>
      </c>
      <c r="G26" s="15">
        <v>23761000</v>
      </c>
      <c r="H26" s="15">
        <f t="shared" si="1"/>
        <v>224.13000000268221</v>
      </c>
      <c r="I26" s="13"/>
    </row>
    <row r="27" spans="1:9" ht="16.5" x14ac:dyDescent="0.25">
      <c r="A27" s="17" t="s">
        <v>34</v>
      </c>
      <c r="B27" s="18">
        <v>10080313.109999999</v>
      </c>
      <c r="C27" s="19">
        <v>0</v>
      </c>
      <c r="D27" s="19">
        <v>4018604.04</v>
      </c>
      <c r="E27" s="18"/>
      <c r="F27" s="13">
        <f t="shared" si="0"/>
        <v>4018604.04</v>
      </c>
      <c r="G27" s="20">
        <v>6061000</v>
      </c>
      <c r="H27" s="15">
        <f t="shared" si="1"/>
        <v>709.0699999993667</v>
      </c>
      <c r="I27" s="13"/>
    </row>
    <row r="28" spans="1:9" ht="16.5" x14ac:dyDescent="0.25">
      <c r="A28" s="11" t="s">
        <v>35</v>
      </c>
      <c r="B28" s="14">
        <v>600000</v>
      </c>
      <c r="C28" s="13">
        <v>600000</v>
      </c>
      <c r="D28" s="13">
        <v>0</v>
      </c>
      <c r="E28" s="14"/>
      <c r="F28" s="13">
        <f t="shared" si="0"/>
        <v>600000</v>
      </c>
      <c r="G28" s="15"/>
      <c r="H28" s="15">
        <f t="shared" si="1"/>
        <v>0</v>
      </c>
      <c r="I28" s="13"/>
    </row>
    <row r="29" spans="1:9" ht="33" x14ac:dyDescent="0.25">
      <c r="A29" s="11" t="s">
        <v>36</v>
      </c>
      <c r="B29" s="14">
        <v>296067.26</v>
      </c>
      <c r="C29" s="13">
        <v>-3000000</v>
      </c>
      <c r="D29" s="13">
        <v>8000000</v>
      </c>
      <c r="E29" s="14"/>
      <c r="F29" s="13">
        <f t="shared" si="0"/>
        <v>5000000</v>
      </c>
      <c r="G29" s="15">
        <v>4781000</v>
      </c>
      <c r="H29" s="15">
        <f t="shared" si="1"/>
        <v>-9484932.7400000002</v>
      </c>
      <c r="I29" s="16" t="s">
        <v>37</v>
      </c>
    </row>
    <row r="30" spans="1:9" ht="16.5" x14ac:dyDescent="0.25">
      <c r="A30" s="11" t="s">
        <v>38</v>
      </c>
      <c r="B30" s="14">
        <v>94810466.840000004</v>
      </c>
      <c r="C30" s="13">
        <v>5500000</v>
      </c>
      <c r="D30" s="13">
        <v>15680282.68</v>
      </c>
      <c r="E30" s="14"/>
      <c r="F30" s="13">
        <f t="shared" si="0"/>
        <v>21180282.68</v>
      </c>
      <c r="G30" s="15">
        <v>73630000</v>
      </c>
      <c r="H30" s="15">
        <f t="shared" si="1"/>
        <v>184.15999999642372</v>
      </c>
      <c r="I30" s="13"/>
    </row>
    <row r="31" spans="1:9" ht="16.5" x14ac:dyDescent="0.25">
      <c r="A31" s="17" t="s">
        <v>39</v>
      </c>
      <c r="B31" s="18">
        <v>21147776.52</v>
      </c>
      <c r="C31" s="19">
        <v>0</v>
      </c>
      <c r="D31" s="19">
        <v>10388912.279999999</v>
      </c>
      <c r="E31" s="18"/>
      <c r="F31" s="13">
        <f t="shared" si="0"/>
        <v>10388912.279999999</v>
      </c>
      <c r="G31" s="20">
        <v>10758000</v>
      </c>
      <c r="H31" s="15">
        <f t="shared" si="1"/>
        <v>864.24000000022352</v>
      </c>
      <c r="I31" s="13"/>
    </row>
    <row r="32" spans="1:9" ht="16.5" x14ac:dyDescent="0.25">
      <c r="A32" s="11" t="s">
        <v>40</v>
      </c>
      <c r="B32" s="14">
        <v>32094240.989999998</v>
      </c>
      <c r="C32" s="13">
        <v>0</v>
      </c>
      <c r="D32" s="13">
        <v>7020092.3099999996</v>
      </c>
      <c r="E32" s="14"/>
      <c r="F32" s="13">
        <f t="shared" si="0"/>
        <v>7020092.3099999996</v>
      </c>
      <c r="G32" s="15">
        <v>25074000</v>
      </c>
      <c r="H32" s="15">
        <f t="shared" si="1"/>
        <v>148.67999999970198</v>
      </c>
      <c r="I32" s="13"/>
    </row>
    <row r="33" spans="1:9" ht="16.5" x14ac:dyDescent="0.25">
      <c r="A33" s="11" t="s">
        <v>41</v>
      </c>
      <c r="B33" s="14">
        <v>11000000</v>
      </c>
      <c r="C33" s="13">
        <v>0</v>
      </c>
      <c r="D33" s="13">
        <v>7000000</v>
      </c>
      <c r="E33" s="14"/>
      <c r="F33" s="13">
        <f t="shared" si="0"/>
        <v>7000000</v>
      </c>
      <c r="G33" s="15">
        <v>4000000</v>
      </c>
      <c r="H33" s="15">
        <f t="shared" si="1"/>
        <v>0</v>
      </c>
      <c r="I33" s="16"/>
    </row>
    <row r="34" spans="1:9" ht="16.5" x14ac:dyDescent="0.25">
      <c r="A34" s="11" t="s">
        <v>42</v>
      </c>
      <c r="B34" s="14">
        <v>11290277.779999999</v>
      </c>
      <c r="C34" s="13">
        <v>0</v>
      </c>
      <c r="D34" s="13">
        <v>2500000</v>
      </c>
      <c r="E34" s="14"/>
      <c r="F34" s="13">
        <f t="shared" si="0"/>
        <v>2500000</v>
      </c>
      <c r="G34" s="15">
        <v>8790000</v>
      </c>
      <c r="H34" s="15">
        <f t="shared" si="1"/>
        <v>277.77999999932945</v>
      </c>
      <c r="I34" s="13"/>
    </row>
    <row r="35" spans="1:9" ht="16.5" x14ac:dyDescent="0.25">
      <c r="A35" s="11" t="s">
        <v>43</v>
      </c>
      <c r="B35" s="14">
        <v>8620000</v>
      </c>
      <c r="C35" s="13">
        <v>8620000</v>
      </c>
      <c r="D35" s="13">
        <v>0</v>
      </c>
      <c r="E35" s="14"/>
      <c r="F35" s="13">
        <f t="shared" si="0"/>
        <v>8620000</v>
      </c>
      <c r="G35" s="15"/>
      <c r="H35" s="15">
        <f t="shared" si="1"/>
        <v>0</v>
      </c>
      <c r="I35" s="13"/>
    </row>
    <row r="36" spans="1:9" ht="16.5" x14ac:dyDescent="0.25">
      <c r="A36" s="17" t="s">
        <v>44</v>
      </c>
      <c r="B36" s="18">
        <v>4883000</v>
      </c>
      <c r="C36" s="19">
        <v>0</v>
      </c>
      <c r="D36" s="19">
        <v>1400000</v>
      </c>
      <c r="E36" s="18"/>
      <c r="F36" s="13">
        <f t="shared" si="0"/>
        <v>1400000</v>
      </c>
      <c r="G36" s="20">
        <v>3483000</v>
      </c>
      <c r="H36" s="15">
        <f t="shared" si="1"/>
        <v>0</v>
      </c>
      <c r="I36" s="13"/>
    </row>
    <row r="37" spans="1:9" ht="16.5" x14ac:dyDescent="0.25">
      <c r="A37" s="11" t="s">
        <v>45</v>
      </c>
      <c r="B37" s="14">
        <v>29695073.140000001</v>
      </c>
      <c r="C37" s="13">
        <v>0</v>
      </c>
      <c r="D37" s="13">
        <v>0</v>
      </c>
      <c r="E37" s="14"/>
      <c r="F37" s="13">
        <f t="shared" si="0"/>
        <v>0</v>
      </c>
      <c r="G37" s="15">
        <v>29695000</v>
      </c>
      <c r="H37" s="15">
        <f t="shared" si="1"/>
        <v>73.140000000596046</v>
      </c>
      <c r="I37" s="13"/>
    </row>
    <row r="38" spans="1:9" ht="16.5" x14ac:dyDescent="0.25">
      <c r="A38" s="11" t="s">
        <v>46</v>
      </c>
      <c r="B38" s="14">
        <v>16720046.48</v>
      </c>
      <c r="C38" s="13">
        <v>0</v>
      </c>
      <c r="D38" s="13">
        <v>7975449.21</v>
      </c>
      <c r="E38" s="14"/>
      <c r="F38" s="13">
        <f t="shared" si="0"/>
        <v>7975449.21</v>
      </c>
      <c r="G38" s="15">
        <v>8745000</v>
      </c>
      <c r="H38" s="15">
        <f t="shared" si="1"/>
        <v>-402.73000000044703</v>
      </c>
      <c r="I38" s="13"/>
    </row>
    <row r="39" spans="1:9" ht="16.5" x14ac:dyDescent="0.25">
      <c r="A39" s="17" t="s">
        <v>47</v>
      </c>
      <c r="B39" s="18">
        <v>12549636.23</v>
      </c>
      <c r="C39" s="19">
        <v>0</v>
      </c>
      <c r="D39" s="19">
        <v>1325012.28</v>
      </c>
      <c r="E39" s="18"/>
      <c r="F39" s="13">
        <f t="shared" si="0"/>
        <v>1325012.28</v>
      </c>
      <c r="G39" s="20">
        <v>11225000</v>
      </c>
      <c r="H39" s="15">
        <f t="shared" si="1"/>
        <v>-376.04999999888241</v>
      </c>
      <c r="I39" s="13"/>
    </row>
    <row r="40" spans="1:9" ht="16.5" x14ac:dyDescent="0.25">
      <c r="A40" s="11" t="s">
        <v>48</v>
      </c>
      <c r="B40" s="14">
        <v>6950000</v>
      </c>
      <c r="C40" s="13">
        <v>0</v>
      </c>
      <c r="D40" s="13">
        <v>300000</v>
      </c>
      <c r="E40" s="14"/>
      <c r="F40" s="13">
        <f t="shared" si="0"/>
        <v>300000</v>
      </c>
      <c r="G40" s="15">
        <v>6650000</v>
      </c>
      <c r="H40" s="15">
        <f t="shared" si="1"/>
        <v>0</v>
      </c>
      <c r="I40" s="13"/>
    </row>
    <row r="41" spans="1:9" ht="16.5" x14ac:dyDescent="0.25">
      <c r="A41" s="11" t="s">
        <v>49</v>
      </c>
      <c r="B41" s="14">
        <v>16272936</v>
      </c>
      <c r="C41" s="13">
        <v>0</v>
      </c>
      <c r="D41" s="13">
        <v>10000000</v>
      </c>
      <c r="E41" s="14"/>
      <c r="F41" s="13">
        <f t="shared" si="0"/>
        <v>10000000</v>
      </c>
      <c r="G41" s="21">
        <v>6272000</v>
      </c>
      <c r="H41" s="15">
        <f t="shared" si="1"/>
        <v>936</v>
      </c>
      <c r="I41" s="16"/>
    </row>
    <row r="42" spans="1:9" ht="16.5" x14ac:dyDescent="0.25">
      <c r="A42" s="11" t="s">
        <v>50</v>
      </c>
      <c r="B42" s="14">
        <v>3952000</v>
      </c>
      <c r="C42" s="13">
        <v>616000</v>
      </c>
      <c r="D42" s="13">
        <v>0</v>
      </c>
      <c r="E42" s="14"/>
      <c r="F42" s="13">
        <f t="shared" si="0"/>
        <v>616000</v>
      </c>
      <c r="G42" s="15">
        <v>3336000</v>
      </c>
      <c r="H42" s="15">
        <f t="shared" si="1"/>
        <v>0</v>
      </c>
      <c r="I42" s="13"/>
    </row>
    <row r="43" spans="1:9" ht="33" x14ac:dyDescent="0.25">
      <c r="A43" s="22" t="s">
        <v>51</v>
      </c>
      <c r="B43" s="23">
        <v>109207617.84</v>
      </c>
      <c r="C43" s="13">
        <v>6000000</v>
      </c>
      <c r="D43" s="13">
        <v>20000000</v>
      </c>
      <c r="E43" s="14"/>
      <c r="F43" s="24">
        <f t="shared" si="0"/>
        <v>26000000</v>
      </c>
      <c r="G43" s="25">
        <f>30000000</f>
        <v>30000000</v>
      </c>
      <c r="H43" s="25">
        <f t="shared" si="1"/>
        <v>53207617.840000004</v>
      </c>
      <c r="I43" s="16" t="s">
        <v>52</v>
      </c>
    </row>
    <row r="44" spans="1:9" ht="33" x14ac:dyDescent="0.25">
      <c r="A44" s="26"/>
      <c r="B44" s="27"/>
      <c r="C44" s="28"/>
      <c r="D44" s="28"/>
      <c r="E44" s="29"/>
      <c r="F44" s="30"/>
      <c r="G44" s="31"/>
      <c r="H44" s="31"/>
      <c r="I44" s="13" t="s">
        <v>53</v>
      </c>
    </row>
    <row r="45" spans="1:9" ht="16.5" x14ac:dyDescent="0.25">
      <c r="A45" s="17" t="s">
        <v>54</v>
      </c>
      <c r="B45" s="18">
        <v>26299151.489999998</v>
      </c>
      <c r="C45" s="19">
        <v>0</v>
      </c>
      <c r="D45" s="19">
        <v>1824854.8</v>
      </c>
      <c r="E45" s="18"/>
      <c r="F45" s="13">
        <f t="shared" si="0"/>
        <v>1824854.8</v>
      </c>
      <c r="G45" s="20">
        <v>24474000</v>
      </c>
      <c r="H45" s="15">
        <f t="shared" si="1"/>
        <v>296.68999999761581</v>
      </c>
      <c r="I45" s="13"/>
    </row>
    <row r="46" spans="1:9" ht="16.5" customHeight="1" x14ac:dyDescent="0.25">
      <c r="A46" s="11" t="s">
        <v>55</v>
      </c>
      <c r="B46" s="14"/>
      <c r="C46" s="13"/>
      <c r="D46" s="13"/>
      <c r="E46" s="14"/>
      <c r="F46" s="13">
        <f t="shared" si="0"/>
        <v>0</v>
      </c>
      <c r="G46" s="15">
        <v>6870000</v>
      </c>
      <c r="H46" s="15">
        <f t="shared" si="1"/>
        <v>-6870000</v>
      </c>
      <c r="I46" s="13" t="s">
        <v>56</v>
      </c>
    </row>
    <row r="47" spans="1:9" ht="16.5" x14ac:dyDescent="0.25">
      <c r="A47" s="11"/>
      <c r="B47" s="14"/>
      <c r="C47" s="13"/>
      <c r="D47" s="13"/>
      <c r="E47" s="14"/>
      <c r="F47" s="13">
        <f t="shared" si="0"/>
        <v>0</v>
      </c>
      <c r="G47" s="21"/>
      <c r="H47" s="15">
        <f t="shared" si="1"/>
        <v>0</v>
      </c>
      <c r="I47" s="16"/>
    </row>
    <row r="48" spans="1:9" ht="16.5" x14ac:dyDescent="0.25">
      <c r="A48" s="32" t="s">
        <v>57</v>
      </c>
      <c r="B48" s="33">
        <f t="shared" ref="B48:H48" si="2">+SUM(B4:B47)</f>
        <v>952082973.25999999</v>
      </c>
      <c r="C48" s="33">
        <f t="shared" si="2"/>
        <v>23230797.879999999</v>
      </c>
      <c r="D48" s="33">
        <f t="shared" si="2"/>
        <v>287496414.33000004</v>
      </c>
      <c r="E48" s="33">
        <f t="shared" si="2"/>
        <v>0</v>
      </c>
      <c r="F48" s="33">
        <f t="shared" si="2"/>
        <v>311064070.45000005</v>
      </c>
      <c r="G48" s="33">
        <f t="shared" si="2"/>
        <v>605139000</v>
      </c>
      <c r="H48" s="34">
        <f t="shared" si="2"/>
        <v>35879902.809999995</v>
      </c>
      <c r="I48" s="32"/>
    </row>
    <row r="49" spans="1:9" ht="16.5" x14ac:dyDescent="0.25">
      <c r="A49" s="35"/>
      <c r="B49" s="35"/>
      <c r="C49" s="35"/>
      <c r="D49" s="35"/>
      <c r="E49" s="35"/>
      <c r="F49" s="35"/>
      <c r="G49" s="36"/>
      <c r="H49" s="35"/>
      <c r="I49" s="35"/>
    </row>
    <row r="50" spans="1:9" ht="16.5" x14ac:dyDescent="0.25">
      <c r="A50" s="35" t="s">
        <v>58</v>
      </c>
      <c r="B50" s="35"/>
      <c r="C50" s="35"/>
      <c r="D50" s="35"/>
      <c r="E50" s="35"/>
      <c r="F50" s="35"/>
      <c r="G50" s="36">
        <v>28699000</v>
      </c>
      <c r="H50" s="35"/>
      <c r="I50" s="35"/>
    </row>
    <row r="51" spans="1:9" ht="16.5" x14ac:dyDescent="0.25">
      <c r="A51" s="35" t="s">
        <v>59</v>
      </c>
      <c r="B51" s="35"/>
      <c r="C51" s="35"/>
      <c r="D51" s="35"/>
      <c r="E51" s="35"/>
      <c r="F51" s="35"/>
      <c r="G51" s="36">
        <v>14942000</v>
      </c>
      <c r="H51" s="35"/>
      <c r="I51" s="35"/>
    </row>
    <row r="52" spans="1:9" ht="16.5" x14ac:dyDescent="0.25">
      <c r="A52" s="35" t="s">
        <v>60</v>
      </c>
      <c r="B52" s="35"/>
      <c r="C52" s="35"/>
      <c r="D52" s="35"/>
      <c r="E52" s="35"/>
      <c r="F52" s="35"/>
      <c r="G52" s="36">
        <f>5883000+5431000</f>
        <v>11314000</v>
      </c>
      <c r="H52" s="35"/>
      <c r="I52" s="35"/>
    </row>
    <row r="53" spans="1:9" ht="16.5" x14ac:dyDescent="0.25">
      <c r="A53" s="35" t="s">
        <v>61</v>
      </c>
      <c r="B53" s="35"/>
      <c r="C53" s="35"/>
      <c r="D53" s="35"/>
      <c r="E53" s="35"/>
      <c r="F53" s="35"/>
      <c r="G53" s="36">
        <v>2325000</v>
      </c>
      <c r="H53" s="35"/>
      <c r="I53" s="35"/>
    </row>
    <row r="54" spans="1:9" ht="16.5" x14ac:dyDescent="0.25">
      <c r="A54" s="35" t="s">
        <v>62</v>
      </c>
      <c r="B54" s="35"/>
      <c r="C54" s="35"/>
      <c r="D54" s="35"/>
      <c r="E54" s="35"/>
      <c r="F54" s="35"/>
      <c r="G54" s="36">
        <v>6355001</v>
      </c>
      <c r="H54" s="35"/>
      <c r="I54" s="35"/>
    </row>
    <row r="55" spans="1:9" ht="16.5" x14ac:dyDescent="0.25">
      <c r="A55" s="35" t="s">
        <v>63</v>
      </c>
      <c r="B55" s="35"/>
      <c r="C55" s="35"/>
      <c r="D55" s="35"/>
      <c r="E55" s="35"/>
      <c r="F55" s="35"/>
      <c r="G55" s="36">
        <v>7738811</v>
      </c>
      <c r="H55" s="35"/>
      <c r="I55" s="35"/>
    </row>
    <row r="56" spans="1:9" ht="16.5" x14ac:dyDescent="0.25">
      <c r="A56" s="35" t="s">
        <v>64</v>
      </c>
      <c r="B56" s="35"/>
      <c r="C56" s="35"/>
      <c r="D56" s="35"/>
      <c r="E56" s="35"/>
      <c r="F56" s="35"/>
      <c r="G56" s="36">
        <f>100000+200000</f>
        <v>300000</v>
      </c>
      <c r="H56" s="35"/>
      <c r="I56" s="35"/>
    </row>
    <row r="57" spans="1:9" ht="16.5" x14ac:dyDescent="0.25">
      <c r="A57" s="35" t="s">
        <v>65</v>
      </c>
      <c r="B57" s="35"/>
      <c r="C57" s="35"/>
      <c r="D57" s="35"/>
      <c r="E57" s="35"/>
      <c r="F57" s="35"/>
      <c r="G57" s="36"/>
      <c r="H57" s="35"/>
      <c r="I57" s="35"/>
    </row>
    <row r="58" spans="1:9" ht="16.5" x14ac:dyDescent="0.25">
      <c r="A58" s="35"/>
      <c r="B58" s="35"/>
      <c r="C58" s="35"/>
      <c r="D58" s="35"/>
      <c r="E58" s="35"/>
      <c r="F58" s="35"/>
      <c r="G58" s="36"/>
      <c r="H58" s="35"/>
      <c r="I58" s="35"/>
    </row>
    <row r="59" spans="1:9" ht="16.5" x14ac:dyDescent="0.25">
      <c r="A59" s="37" t="s">
        <v>66</v>
      </c>
      <c r="B59" s="37"/>
      <c r="C59" s="37"/>
      <c r="D59" s="37"/>
      <c r="E59" s="37"/>
      <c r="F59" s="37"/>
      <c r="G59" s="38">
        <f>+SUM(G48:G58)</f>
        <v>676812812</v>
      </c>
      <c r="H59" s="37"/>
      <c r="I59" s="37"/>
    </row>
  </sheetData>
  <mergeCells count="6">
    <mergeCell ref="A1:I1"/>
    <mergeCell ref="A43:A44"/>
    <mergeCell ref="B43:B44"/>
    <mergeCell ref="F43:F44"/>
    <mergeCell ref="G43:G44"/>
    <mergeCell ref="H43:H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2026-05-21T07:05:29Z</dcterms:created>
  <dcterms:modified xsi:type="dcterms:W3CDTF">2026-05-21T07:06:13Z</dcterms:modified>
</cp:coreProperties>
</file>