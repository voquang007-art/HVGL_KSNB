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1-12\"/>
    </mc:Choice>
  </mc:AlternateContent>
  <xr:revisionPtr revIDLastSave="0" documentId="8_{7D050FCF-3F69-4ED3-99D3-DF360D8990F6}" xr6:coauthVersionLast="47" xr6:coauthVersionMax="47" xr10:uidLastSave="{00000000-0000-0000-0000-000000000000}"/>
  <bookViews>
    <workbookView xWindow="-120" yWindow="-120" windowWidth="29040" windowHeight="15840" xr2:uid="{B4147A2A-4262-4723-8DD7-C8AE6F054E45}"/>
  </bookViews>
  <sheets>
    <sheet name="11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60" i="1" s="1"/>
  <c r="E49" i="1"/>
  <c r="D49" i="1"/>
  <c r="C49" i="1"/>
  <c r="B49" i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H49" i="1" l="1"/>
  <c r="F49" i="1"/>
</calcChain>
</file>

<file path=xl/sharedStrings.xml><?xml version="1.0" encoding="utf-8"?>
<sst xmlns="http://schemas.openxmlformats.org/spreadsheetml/2006/main" count="73" uniqueCount="73">
  <si>
    <t>THEO DÕI THU TIỀN NGÀY 11/12/25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</si>
  <si>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</si>
  <si>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</si>
  <si>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</si>
  <si>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</si>
  <si>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</si>
  <si>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</si>
  <si>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</si>
  <si>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</si>
  <si>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</si>
  <si>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10218-Nguyễn Thị Vân Anh</t>
  </si>
  <si>
    <t>10221-Phạm Thị Hải Điềm</t>
  </si>
  <si>
    <t>10226-BYAM</t>
  </si>
  <si>
    <t>10244-Nguyễn Thị Thanh Nhã</t>
  </si>
  <si>
    <t>10277-Nguyễn Thị Mai Phương</t>
  </si>
  <si>
    <t>10280-Hoàng Thị Kiều Oanh</t>
  </si>
  <si>
    <t>10285-Trần Thị Thanh Mai</t>
  </si>
  <si>
    <t>10294-Lê Thị Hồng Nhung</t>
  </si>
  <si>
    <t>10309-Phạm Thị Hằng</t>
  </si>
  <si>
    <t>Nộp gộp tiền thu user ID707</t>
  </si>
  <si>
    <t>122-Nguyễn Thị Tường Vi</t>
  </si>
  <si>
    <t>123-Lê Thị Thu Hường</t>
  </si>
  <si>
    <t>152-Nguyễn Thị Hồng Nhi</t>
  </si>
  <si>
    <t>167-Nguyễn Thị Kim Tuyền</t>
  </si>
  <si>
    <t>BN Trầm Thị Yến khoa PHCN-YHCT ra viện tạm ứng dư, kế toán đã chi hoàn</t>
  </si>
  <si>
    <t>169-Đoàn Thị Ánh Nguyệt</t>
  </si>
  <si>
    <t>239-Trương Thị Mỹ Dung</t>
  </si>
  <si>
    <t>BN phát sinh tạm ứng 5 triệu - điều dưỡng nộp ngày 12/12</t>
  </si>
  <si>
    <t>24-Phan Thị Huế</t>
  </si>
  <si>
    <t>252-Nguyễn Thị Thùy Trang</t>
  </si>
  <si>
    <t>BN Chu Mạnh Hùng BLVP ra viện tạm ứng dư, kế toán đã chi hoàn</t>
  </si>
  <si>
    <t>293-Lê Thị Lệ</t>
  </si>
  <si>
    <t>301-Võ Lê Uyên Thuy</t>
  </si>
  <si>
    <t>304-Trịnh Thị Thanh Ngân</t>
  </si>
  <si>
    <t>35-Phạm Thị Xuân Vy</t>
  </si>
  <si>
    <t>377-Võ Sông Thương</t>
  </si>
  <si>
    <t>463-Nguyễn Minh Hoàng</t>
  </si>
  <si>
    <t>482-Phạm Thị Thu Hương</t>
  </si>
  <si>
    <t>505-Lê Thị Hồng Duyên</t>
  </si>
  <si>
    <t>51-Nguyễn Thị Thảo</t>
  </si>
  <si>
    <t>56-Đinh Thị Thùy Giang</t>
  </si>
  <si>
    <t>626-Nguyễn Thị Thu Hương</t>
  </si>
  <si>
    <t>641-Nguyễn Hải Anh</t>
  </si>
  <si>
    <t>648-Lê Thị Chinh</t>
  </si>
  <si>
    <t>696-Nguyễn Thị Kim Thơ</t>
  </si>
  <si>
    <t>702-Huỳnh Thị Tường Vy</t>
  </si>
  <si>
    <t>707-Hoàng Thị Thanh Huyền</t>
  </si>
  <si>
    <t>Đã nộp gộp bên user ID10309</t>
  </si>
  <si>
    <t>723-Nguyễn Thị Thu Trang</t>
  </si>
  <si>
    <t>72-Hồ Sỹ Tĩnh</t>
  </si>
  <si>
    <t>BN Trần Quang Đàm ngoại viện tạm ứng dư, kế toán đã chi hoàn</t>
  </si>
  <si>
    <t>74-Đoàn Thị Hiếu</t>
  </si>
  <si>
    <t>82-Lê Thị Minh Phượng</t>
  </si>
  <si>
    <t>Điều dưỡng nộp ngày 12/12</t>
  </si>
  <si>
    <t>85-Nguyễn Thị Thu Ngân</t>
  </si>
  <si>
    <t>86-Nguyễn Thị Song Nhàn</t>
  </si>
  <si>
    <t>BN Phạm Thị Nâu khoa HSTC-CĐ ra viện tạm ứng dư, kế toán đã chi hoàn</t>
  </si>
  <si>
    <t>89-Bùi Thị Tuyết Nhi</t>
  </si>
  <si>
    <t>95-Đặng Ngọc Diễm Thy</t>
  </si>
  <si>
    <t>97-Diệp Thị Thùy Trang</t>
  </si>
  <si>
    <t>BN Trần Quang Đàm khoa HSTC-CĐ ra viện tạm ứng dư, kế toán đã chuyển hoàn ngày 18/12</t>
  </si>
  <si>
    <t>Nguyễn Thị Thu Trinh</t>
  </si>
  <si>
    <t>Khoa Ngoại TH ngày 10/12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</si>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</sst>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07AE-12CA-49DC-833A-983C1A6E1428}">
  <sheetPr>
    <pageSetUpPr fitToPage="1"/>
  </sheetPr>
  <dimension ref="A1:I60"/>
  <sheetViews>
    <sheetView tabSelected="1" workbookViewId="0">
      <selection activeCell="F63" sqref="F63"/>
    </sheetView>
  </sheetViews>
  <sheetFormatPr defaultRowHeight="15.75" x14ac:dyDescent="0.25"/>
  <cols>
    <col min="1" max="1" width="28.75" style="2" customWidth="1"/>
    <col min="2" max="2" width="14.625" style="2" customWidth="1"/>
    <col min="3" max="5" width="14.625" style="2" hidden="1" customWidth="1"/>
    <col min="6" max="8" width="14.625" style="2" customWidth="1"/>
    <col min="9" max="9" width="36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19414893.440000001</v>
      </c>
      <c r="C4" s="13">
        <v>0</v>
      </c>
      <c r="D4" s="13">
        <v>5900322.2800000003</v>
      </c>
      <c r="E4" s="14">
        <v>0</v>
      </c>
      <c r="F4" s="13">
        <f>+C4+D4+E4</f>
        <v>5900322.2800000003</v>
      </c>
      <c r="G4" s="15">
        <v>13514000</v>
      </c>
      <c r="H4" s="15">
        <f>+B4-F4-G4</f>
        <v>571.16000000014901</v>
      </c>
      <c r="I4" s="16"/>
    </row>
    <row r="5" spans="1:9" ht="16.5" x14ac:dyDescent="0.25">
      <c r="A5" s="11" t="s">
        <v>10</v>
      </c>
      <c r="B5" s="14">
        <v>14300000</v>
      </c>
      <c r="C5" s="13">
        <v>0</v>
      </c>
      <c r="D5" s="13">
        <v>4200000</v>
      </c>
      <c r="E5" s="14">
        <v>0</v>
      </c>
      <c r="F5" s="13">
        <f t="shared" ref="F5:F48" si="0">+C5+D5+E5</f>
        <v>4200000</v>
      </c>
      <c r="G5" s="15">
        <v>10100000</v>
      </c>
      <c r="H5" s="15">
        <f t="shared" ref="H5:H48" si="1">+B5-F5-G5</f>
        <v>0</v>
      </c>
      <c r="I5" s="16"/>
    </row>
    <row r="6" spans="1:9" ht="16.5" x14ac:dyDescent="0.25">
      <c r="A6" s="11" t="s">
        <v>11</v>
      </c>
      <c r="B6" s="14">
        <v>59473873.909999996</v>
      </c>
      <c r="C6" s="13">
        <v>0</v>
      </c>
      <c r="D6" s="13">
        <v>49009311.289999999</v>
      </c>
      <c r="E6" s="14">
        <v>0</v>
      </c>
      <c r="F6" s="13">
        <f t="shared" si="0"/>
        <v>49009311.289999999</v>
      </c>
      <c r="G6" s="15">
        <v>10465000</v>
      </c>
      <c r="H6" s="15">
        <f t="shared" si="1"/>
        <v>-437.38000000268221</v>
      </c>
      <c r="I6" s="13"/>
    </row>
    <row r="7" spans="1:9" ht="16.5" x14ac:dyDescent="0.25">
      <c r="A7" s="17" t="s">
        <v>12</v>
      </c>
      <c r="B7" s="18">
        <v>28470806.77</v>
      </c>
      <c r="C7" s="19">
        <v>0</v>
      </c>
      <c r="D7" s="19">
        <v>13000000</v>
      </c>
      <c r="E7" s="18">
        <v>0</v>
      </c>
      <c r="F7" s="13">
        <f t="shared" si="0"/>
        <v>13000000</v>
      </c>
      <c r="G7" s="20">
        <v>15471000</v>
      </c>
      <c r="H7" s="15">
        <f t="shared" si="1"/>
        <v>-193.23000000044703</v>
      </c>
      <c r="I7" s="13"/>
    </row>
    <row r="8" spans="1:9" ht="16.5" x14ac:dyDescent="0.25">
      <c r="A8" s="11" t="s">
        <v>13</v>
      </c>
      <c r="B8" s="14">
        <v>3446960</v>
      </c>
      <c r="C8" s="13">
        <v>1846960</v>
      </c>
      <c r="D8" s="13">
        <v>1600000</v>
      </c>
      <c r="E8" s="14">
        <v>0</v>
      </c>
      <c r="F8" s="13">
        <f t="shared" si="0"/>
        <v>3446960</v>
      </c>
      <c r="G8" s="15"/>
      <c r="H8" s="15">
        <f t="shared" si="1"/>
        <v>0</v>
      </c>
      <c r="I8" s="13"/>
    </row>
    <row r="9" spans="1:9" ht="16.5" x14ac:dyDescent="0.25">
      <c r="A9" s="11" t="s">
        <v>14</v>
      </c>
      <c r="B9" s="14">
        <v>53081795.770000003</v>
      </c>
      <c r="C9" s="13">
        <v>6772730.3200000003</v>
      </c>
      <c r="D9" s="13">
        <v>10974289.439999999</v>
      </c>
      <c r="E9" s="14">
        <v>400000</v>
      </c>
      <c r="F9" s="13">
        <f t="shared" si="0"/>
        <v>18147019.759999998</v>
      </c>
      <c r="G9" s="15">
        <v>34935000</v>
      </c>
      <c r="H9" s="15">
        <f t="shared" si="1"/>
        <v>-223.98999999463558</v>
      </c>
      <c r="I9" s="16"/>
    </row>
    <row r="10" spans="1:9" ht="16.5" x14ac:dyDescent="0.25">
      <c r="A10" s="11" t="s">
        <v>15</v>
      </c>
      <c r="B10" s="14">
        <v>42089600.18</v>
      </c>
      <c r="C10" s="13">
        <v>0</v>
      </c>
      <c r="D10" s="13">
        <v>27000000</v>
      </c>
      <c r="E10" s="14">
        <v>0</v>
      </c>
      <c r="F10" s="13">
        <f t="shared" si="0"/>
        <v>27000000</v>
      </c>
      <c r="G10" s="15">
        <v>15090000</v>
      </c>
      <c r="H10" s="15">
        <f t="shared" si="1"/>
        <v>-399.82000000029802</v>
      </c>
      <c r="I10" s="13"/>
    </row>
    <row r="11" spans="1:9" ht="16.5" x14ac:dyDescent="0.25">
      <c r="A11" s="11" t="s">
        <v>16</v>
      </c>
      <c r="B11" s="14">
        <v>15454834.01</v>
      </c>
      <c r="C11" s="13">
        <v>0</v>
      </c>
      <c r="D11" s="13">
        <v>3800000</v>
      </c>
      <c r="E11" s="14">
        <v>0</v>
      </c>
      <c r="F11" s="13">
        <f t="shared" si="0"/>
        <v>3800000</v>
      </c>
      <c r="G11" s="15">
        <v>11654000</v>
      </c>
      <c r="H11" s="15">
        <f t="shared" si="1"/>
        <v>834.00999999977648</v>
      </c>
      <c r="I11" s="13"/>
    </row>
    <row r="12" spans="1:9" ht="16.5" x14ac:dyDescent="0.25">
      <c r="A12" s="17" t="s">
        <v>17</v>
      </c>
      <c r="B12" s="18">
        <v>1210000</v>
      </c>
      <c r="C12" s="19">
        <v>0</v>
      </c>
      <c r="D12" s="19">
        <v>200000</v>
      </c>
      <c r="E12" s="18">
        <v>0</v>
      </c>
      <c r="F12" s="13">
        <f t="shared" si="0"/>
        <v>200000</v>
      </c>
      <c r="G12" s="20">
        <v>1010000</v>
      </c>
      <c r="H12" s="15">
        <f t="shared" si="1"/>
        <v>0</v>
      </c>
      <c r="I12" s="13"/>
    </row>
    <row r="13" spans="1:9" ht="16.5" x14ac:dyDescent="0.25">
      <c r="A13" s="11" t="s">
        <v>18</v>
      </c>
      <c r="B13" s="14">
        <v>10589000</v>
      </c>
      <c r="C13" s="13">
        <v>1650000</v>
      </c>
      <c r="D13" s="13">
        <v>5719000</v>
      </c>
      <c r="E13" s="14">
        <v>0</v>
      </c>
      <c r="F13" s="13">
        <f t="shared" si="0"/>
        <v>7369000</v>
      </c>
      <c r="G13" s="15">
        <v>3440000</v>
      </c>
      <c r="H13" s="15">
        <f t="shared" si="1"/>
        <v>-220000</v>
      </c>
      <c r="I13" s="13" t="s">
        <v>19</v>
      </c>
    </row>
    <row r="14" spans="1:9" ht="16.5" x14ac:dyDescent="0.25">
      <c r="A14" s="11" t="s">
        <v>20</v>
      </c>
      <c r="B14" s="14">
        <v>20257302.120000001</v>
      </c>
      <c r="C14" s="13">
        <v>0</v>
      </c>
      <c r="D14" s="13">
        <v>6854622.3600000003</v>
      </c>
      <c r="E14" s="14">
        <v>0</v>
      </c>
      <c r="F14" s="13">
        <f t="shared" si="0"/>
        <v>6854622.3600000003</v>
      </c>
      <c r="G14" s="15">
        <v>13402000</v>
      </c>
      <c r="H14" s="15">
        <f t="shared" si="1"/>
        <v>679.76000000163913</v>
      </c>
      <c r="I14" s="16"/>
    </row>
    <row r="15" spans="1:9" ht="16.5" x14ac:dyDescent="0.25">
      <c r="A15" s="11" t="s">
        <v>21</v>
      </c>
      <c r="B15" s="14">
        <v>10905151.279999999</v>
      </c>
      <c r="C15" s="13">
        <v>0</v>
      </c>
      <c r="D15" s="13">
        <v>5851804.04</v>
      </c>
      <c r="E15" s="14">
        <v>0</v>
      </c>
      <c r="F15" s="13">
        <f t="shared" si="0"/>
        <v>5851804.04</v>
      </c>
      <c r="G15" s="15">
        <v>5053000</v>
      </c>
      <c r="H15" s="15">
        <f t="shared" si="1"/>
        <v>347.23999999929219</v>
      </c>
      <c r="I15" s="16"/>
    </row>
    <row r="16" spans="1:9" ht="16.5" x14ac:dyDescent="0.25">
      <c r="A16" s="11" t="s">
        <v>22</v>
      </c>
      <c r="B16" s="14">
        <v>103654359.66</v>
      </c>
      <c r="C16" s="13">
        <v>0</v>
      </c>
      <c r="D16" s="13">
        <v>54005212.049999997</v>
      </c>
      <c r="E16" s="14">
        <v>2895769.56</v>
      </c>
      <c r="F16" s="13">
        <f t="shared" si="0"/>
        <v>56900981.609999999</v>
      </c>
      <c r="G16" s="15">
        <v>46751000</v>
      </c>
      <c r="H16" s="15">
        <f t="shared" si="1"/>
        <v>2378.0499999970198</v>
      </c>
      <c r="I16" s="16"/>
    </row>
    <row r="17" spans="1:9" ht="33" x14ac:dyDescent="0.25">
      <c r="A17" s="11" t="s">
        <v>23</v>
      </c>
      <c r="B17" s="14">
        <v>6446581.9500000002</v>
      </c>
      <c r="C17" s="13">
        <v>0</v>
      </c>
      <c r="D17" s="13">
        <v>7300000</v>
      </c>
      <c r="E17" s="14">
        <v>0</v>
      </c>
      <c r="F17" s="13">
        <f t="shared" si="0"/>
        <v>7300000</v>
      </c>
      <c r="G17" s="15"/>
      <c r="H17" s="15">
        <f t="shared" si="1"/>
        <v>-853418.04999999981</v>
      </c>
      <c r="I17" s="13" t="s">
        <v>24</v>
      </c>
    </row>
    <row r="18" spans="1:9" ht="16.5" x14ac:dyDescent="0.25">
      <c r="A18" s="11" t="s">
        <v>25</v>
      </c>
      <c r="B18" s="14">
        <v>-5.26</v>
      </c>
      <c r="C18" s="13">
        <v>0</v>
      </c>
      <c r="D18" s="13">
        <v>0</v>
      </c>
      <c r="E18" s="14">
        <v>0</v>
      </c>
      <c r="F18" s="13">
        <f t="shared" si="0"/>
        <v>0</v>
      </c>
      <c r="G18" s="15"/>
      <c r="H18" s="15">
        <f t="shared" si="1"/>
        <v>-5.26</v>
      </c>
      <c r="I18" s="16"/>
    </row>
    <row r="19" spans="1:9" ht="33" x14ac:dyDescent="0.25">
      <c r="A19" s="11" t="s">
        <v>26</v>
      </c>
      <c r="B19" s="14">
        <v>54033854.630000003</v>
      </c>
      <c r="C19" s="13">
        <v>0</v>
      </c>
      <c r="D19" s="13">
        <v>34000000</v>
      </c>
      <c r="E19" s="14">
        <v>0</v>
      </c>
      <c r="F19" s="13">
        <f t="shared" si="0"/>
        <v>34000000</v>
      </c>
      <c r="G19" s="15">
        <v>15033000</v>
      </c>
      <c r="H19" s="15">
        <f t="shared" si="1"/>
        <v>5000854.6300000027</v>
      </c>
      <c r="I19" s="16" t="s">
        <v>27</v>
      </c>
    </row>
    <row r="20" spans="1:9" ht="16.5" x14ac:dyDescent="0.25">
      <c r="A20" s="11" t="s">
        <v>28</v>
      </c>
      <c r="B20" s="14">
        <v>12819824.92</v>
      </c>
      <c r="C20" s="13">
        <v>2000000</v>
      </c>
      <c r="D20" s="13">
        <v>3884491.94</v>
      </c>
      <c r="E20" s="14">
        <v>0</v>
      </c>
      <c r="F20" s="13">
        <f t="shared" si="0"/>
        <v>5884491.9399999995</v>
      </c>
      <c r="G20" s="15">
        <v>6935000</v>
      </c>
      <c r="H20" s="15">
        <f t="shared" si="1"/>
        <v>332.98000000044703</v>
      </c>
      <c r="I20" s="16"/>
    </row>
    <row r="21" spans="1:9" ht="33" x14ac:dyDescent="0.25">
      <c r="A21" s="11" t="s">
        <v>29</v>
      </c>
      <c r="B21" s="14">
        <v>-484885.84</v>
      </c>
      <c r="C21" s="13">
        <v>0</v>
      </c>
      <c r="D21" s="13">
        <v>3990535.29</v>
      </c>
      <c r="E21" s="14">
        <v>0</v>
      </c>
      <c r="F21" s="13">
        <f t="shared" si="0"/>
        <v>3990535.29</v>
      </c>
      <c r="G21" s="15">
        <v>1460000</v>
      </c>
      <c r="H21" s="15">
        <f t="shared" si="1"/>
        <v>-5935421.1299999999</v>
      </c>
      <c r="I21" s="13" t="s">
        <v>30</v>
      </c>
    </row>
    <row r="22" spans="1:9" ht="16.5" x14ac:dyDescent="0.25">
      <c r="A22" s="17" t="s">
        <v>31</v>
      </c>
      <c r="B22" s="18">
        <v>30512438.300000001</v>
      </c>
      <c r="C22" s="19">
        <v>0</v>
      </c>
      <c r="D22" s="19">
        <v>8657691.0899999999</v>
      </c>
      <c r="E22" s="18">
        <v>0</v>
      </c>
      <c r="F22" s="13">
        <f t="shared" si="0"/>
        <v>8657691.0899999999</v>
      </c>
      <c r="G22" s="20">
        <v>21855000</v>
      </c>
      <c r="H22" s="15">
        <f t="shared" si="1"/>
        <v>-252.78999999910593</v>
      </c>
      <c r="I22" s="13"/>
    </row>
    <row r="23" spans="1:9" ht="16.5" x14ac:dyDescent="0.25">
      <c r="A23" s="11" t="s">
        <v>32</v>
      </c>
      <c r="B23" s="14">
        <v>14441587.699999999</v>
      </c>
      <c r="C23" s="13">
        <v>955000</v>
      </c>
      <c r="D23" s="13">
        <v>286990.40000000002</v>
      </c>
      <c r="E23" s="14">
        <v>0</v>
      </c>
      <c r="F23" s="13">
        <f t="shared" si="0"/>
        <v>1241990.3999999999</v>
      </c>
      <c r="G23" s="15">
        <v>13200000</v>
      </c>
      <c r="H23" s="15">
        <f t="shared" si="1"/>
        <v>-402.70000000111759</v>
      </c>
      <c r="I23" s="13"/>
    </row>
    <row r="24" spans="1:9" ht="16.5" x14ac:dyDescent="0.25">
      <c r="A24" s="11" t="s">
        <v>33</v>
      </c>
      <c r="B24" s="14">
        <v>16491795.109999999</v>
      </c>
      <c r="C24" s="13">
        <v>0</v>
      </c>
      <c r="D24" s="13">
        <v>3462892.48</v>
      </c>
      <c r="E24" s="14">
        <v>0</v>
      </c>
      <c r="F24" s="13">
        <f t="shared" si="0"/>
        <v>3462892.48</v>
      </c>
      <c r="G24" s="15">
        <v>13029000</v>
      </c>
      <c r="H24" s="15">
        <f t="shared" si="1"/>
        <v>-97.370000001043081</v>
      </c>
      <c r="I24" s="16"/>
    </row>
    <row r="25" spans="1:9" ht="16.5" x14ac:dyDescent="0.25">
      <c r="A25" s="11" t="s">
        <v>34</v>
      </c>
      <c r="B25" s="14">
        <v>70344494.459999993</v>
      </c>
      <c r="C25" s="13">
        <v>0</v>
      </c>
      <c r="D25" s="13">
        <v>38000000</v>
      </c>
      <c r="E25" s="14">
        <v>0</v>
      </c>
      <c r="F25" s="13">
        <f t="shared" si="0"/>
        <v>38000000</v>
      </c>
      <c r="G25" s="15">
        <v>32344000</v>
      </c>
      <c r="H25" s="15">
        <f t="shared" si="1"/>
        <v>494.45999999344349</v>
      </c>
      <c r="I25" s="13"/>
    </row>
    <row r="26" spans="1:9" ht="16.5" x14ac:dyDescent="0.25">
      <c r="A26" s="17" t="s">
        <v>35</v>
      </c>
      <c r="B26" s="18">
        <v>5000000</v>
      </c>
      <c r="C26" s="19">
        <v>0</v>
      </c>
      <c r="D26" s="19">
        <v>5000000</v>
      </c>
      <c r="E26" s="18">
        <v>0</v>
      </c>
      <c r="F26" s="13">
        <f t="shared" si="0"/>
        <v>5000000</v>
      </c>
      <c r="G26" s="20"/>
      <c r="H26" s="15">
        <f t="shared" si="1"/>
        <v>0</v>
      </c>
      <c r="I26" s="13"/>
    </row>
    <row r="27" spans="1:9" ht="16.5" x14ac:dyDescent="0.25">
      <c r="A27" s="11" t="s">
        <v>36</v>
      </c>
      <c r="B27" s="14">
        <v>1180000</v>
      </c>
      <c r="C27" s="13">
        <v>0</v>
      </c>
      <c r="D27" s="13">
        <v>0</v>
      </c>
      <c r="E27" s="14">
        <v>0</v>
      </c>
      <c r="F27" s="13">
        <f t="shared" si="0"/>
        <v>0</v>
      </c>
      <c r="G27" s="15">
        <v>1180000</v>
      </c>
      <c r="H27" s="15">
        <f t="shared" si="1"/>
        <v>0</v>
      </c>
      <c r="I27" s="13"/>
    </row>
    <row r="28" spans="1:9" ht="16.5" x14ac:dyDescent="0.25">
      <c r="A28" s="11" t="s">
        <v>37</v>
      </c>
      <c r="B28" s="14">
        <v>16704067.93</v>
      </c>
      <c r="C28" s="13">
        <v>1000000</v>
      </c>
      <c r="D28" s="13">
        <v>3548129.6</v>
      </c>
      <c r="E28" s="14">
        <v>0</v>
      </c>
      <c r="F28" s="13">
        <f t="shared" si="0"/>
        <v>4548129.5999999996</v>
      </c>
      <c r="G28" s="15">
        <v>12155000</v>
      </c>
      <c r="H28" s="15">
        <f t="shared" si="1"/>
        <v>938.33000000007451</v>
      </c>
      <c r="I28" s="16"/>
    </row>
    <row r="29" spans="1:9" ht="16.5" x14ac:dyDescent="0.25">
      <c r="A29" s="11" t="s">
        <v>38</v>
      </c>
      <c r="B29" s="14">
        <v>10532906.960000001</v>
      </c>
      <c r="C29" s="13">
        <v>0</v>
      </c>
      <c r="D29" s="13">
        <v>815517.19</v>
      </c>
      <c r="E29" s="14">
        <v>0</v>
      </c>
      <c r="F29" s="13">
        <f t="shared" si="0"/>
        <v>815517.19</v>
      </c>
      <c r="G29" s="15">
        <v>9716000</v>
      </c>
      <c r="H29" s="15">
        <f t="shared" si="1"/>
        <v>1389.7700000014156</v>
      </c>
      <c r="I29" s="13"/>
    </row>
    <row r="30" spans="1:9" ht="16.5" x14ac:dyDescent="0.25">
      <c r="A30" s="11" t="s">
        <v>39</v>
      </c>
      <c r="B30" s="14">
        <v>79555255.170000002</v>
      </c>
      <c r="C30" s="13">
        <v>0</v>
      </c>
      <c r="D30" s="13">
        <v>42913028.030000001</v>
      </c>
      <c r="E30" s="14">
        <v>2361249.58</v>
      </c>
      <c r="F30" s="13">
        <f t="shared" si="0"/>
        <v>45274277.609999999</v>
      </c>
      <c r="G30" s="15">
        <v>34280000</v>
      </c>
      <c r="H30" s="15">
        <f t="shared" si="1"/>
        <v>977.56000000238419</v>
      </c>
      <c r="I30" s="13"/>
    </row>
    <row r="31" spans="1:9" ht="16.5" x14ac:dyDescent="0.25">
      <c r="A31" s="17" t="s">
        <v>40</v>
      </c>
      <c r="B31" s="18">
        <v>1837626.45</v>
      </c>
      <c r="C31" s="19">
        <v>0</v>
      </c>
      <c r="D31" s="19">
        <v>1053776.75</v>
      </c>
      <c r="E31" s="18">
        <v>0</v>
      </c>
      <c r="F31" s="13">
        <f t="shared" si="0"/>
        <v>1053776.75</v>
      </c>
      <c r="G31" s="20">
        <v>784000</v>
      </c>
      <c r="H31" s="15">
        <f t="shared" si="1"/>
        <v>-150.30000000004657</v>
      </c>
      <c r="I31" s="13"/>
    </row>
    <row r="32" spans="1:9" ht="16.5" x14ac:dyDescent="0.25">
      <c r="A32" s="11" t="s">
        <v>41</v>
      </c>
      <c r="B32" s="14">
        <v>4708267.87</v>
      </c>
      <c r="C32" s="13">
        <v>0</v>
      </c>
      <c r="D32" s="13">
        <v>0</v>
      </c>
      <c r="E32" s="14">
        <v>0</v>
      </c>
      <c r="F32" s="13">
        <f t="shared" si="0"/>
        <v>0</v>
      </c>
      <c r="G32" s="15">
        <v>4708000</v>
      </c>
      <c r="H32" s="15">
        <f t="shared" si="1"/>
        <v>267.87000000011176</v>
      </c>
      <c r="I32" s="13"/>
    </row>
    <row r="33" spans="1:9" ht="16.5" x14ac:dyDescent="0.25">
      <c r="A33" s="11" t="s">
        <v>42</v>
      </c>
      <c r="B33" s="14">
        <v>20744404.34</v>
      </c>
      <c r="C33" s="13">
        <v>500000</v>
      </c>
      <c r="D33" s="13">
        <v>2675754.58</v>
      </c>
      <c r="E33" s="14">
        <v>0</v>
      </c>
      <c r="F33" s="13">
        <f t="shared" si="0"/>
        <v>3175754.58</v>
      </c>
      <c r="G33" s="15">
        <v>17568000</v>
      </c>
      <c r="H33" s="15">
        <f t="shared" si="1"/>
        <v>649.75999999791384</v>
      </c>
      <c r="I33" s="13"/>
    </row>
    <row r="34" spans="1:9" ht="16.5" x14ac:dyDescent="0.25">
      <c r="A34" s="17" t="s">
        <v>43</v>
      </c>
      <c r="B34" s="18">
        <v>15815510.24</v>
      </c>
      <c r="C34" s="19">
        <v>0</v>
      </c>
      <c r="D34" s="19">
        <v>9116927.8900000006</v>
      </c>
      <c r="E34" s="18">
        <v>0</v>
      </c>
      <c r="F34" s="13">
        <f t="shared" si="0"/>
        <v>9116927.8900000006</v>
      </c>
      <c r="G34" s="20">
        <v>6698000</v>
      </c>
      <c r="H34" s="15">
        <f t="shared" si="1"/>
        <v>582.34999999962747</v>
      </c>
      <c r="I34" s="13"/>
    </row>
    <row r="35" spans="1:9" ht="16.5" x14ac:dyDescent="0.25">
      <c r="A35" s="11" t="s">
        <v>44</v>
      </c>
      <c r="B35" s="14">
        <v>20413182.100000001</v>
      </c>
      <c r="C35" s="13">
        <v>0</v>
      </c>
      <c r="D35" s="13">
        <v>8457932.3800000008</v>
      </c>
      <c r="E35" s="14">
        <v>0</v>
      </c>
      <c r="F35" s="13">
        <f t="shared" si="0"/>
        <v>8457932.3800000008</v>
      </c>
      <c r="G35" s="15">
        <v>11955000</v>
      </c>
      <c r="H35" s="15">
        <f t="shared" si="1"/>
        <v>249.72000000067055</v>
      </c>
      <c r="I35" s="13"/>
    </row>
    <row r="36" spans="1:9" ht="16.5" x14ac:dyDescent="0.25">
      <c r="A36" s="11" t="s">
        <v>45</v>
      </c>
      <c r="B36" s="14">
        <v>10916889.02</v>
      </c>
      <c r="C36" s="13">
        <v>0</v>
      </c>
      <c r="D36" s="13">
        <v>5000000</v>
      </c>
      <c r="E36" s="14">
        <v>0</v>
      </c>
      <c r="F36" s="13">
        <f t="shared" si="0"/>
        <v>5000000</v>
      </c>
      <c r="G36" s="21">
        <v>5916000</v>
      </c>
      <c r="H36" s="15">
        <f t="shared" si="1"/>
        <v>889.01999999955297</v>
      </c>
      <c r="I36" s="16"/>
    </row>
    <row r="37" spans="1:9" ht="16.5" x14ac:dyDescent="0.25">
      <c r="A37" s="11" t="s">
        <v>46</v>
      </c>
      <c r="B37" s="14">
        <v>2380000</v>
      </c>
      <c r="C37" s="13">
        <v>1860000</v>
      </c>
      <c r="D37" s="13">
        <v>300000</v>
      </c>
      <c r="E37" s="14">
        <v>0</v>
      </c>
      <c r="F37" s="13">
        <f t="shared" si="0"/>
        <v>2160000</v>
      </c>
      <c r="G37" s="15"/>
      <c r="H37" s="15">
        <f t="shared" si="1"/>
        <v>220000</v>
      </c>
      <c r="I37" s="13" t="s">
        <v>47</v>
      </c>
    </row>
    <row r="38" spans="1:9" ht="16.5" x14ac:dyDescent="0.25">
      <c r="A38" s="11" t="s">
        <v>48</v>
      </c>
      <c r="B38" s="14">
        <v>17397665.129999999</v>
      </c>
      <c r="C38" s="13">
        <v>0</v>
      </c>
      <c r="D38" s="13">
        <v>6423559.1699999999</v>
      </c>
      <c r="E38" s="14">
        <v>0</v>
      </c>
      <c r="F38" s="13">
        <f t="shared" si="0"/>
        <v>6423559.1699999999</v>
      </c>
      <c r="G38" s="15">
        <v>10974000</v>
      </c>
      <c r="H38" s="15">
        <f t="shared" si="1"/>
        <v>105.95999999903142</v>
      </c>
      <c r="I38" s="13"/>
    </row>
    <row r="39" spans="1:9" ht="33" x14ac:dyDescent="0.25">
      <c r="A39" s="11" t="s">
        <v>49</v>
      </c>
      <c r="B39" s="14">
        <v>75649603.879999995</v>
      </c>
      <c r="C39" s="13">
        <v>761867.54</v>
      </c>
      <c r="D39" s="13">
        <v>22067961.789999999</v>
      </c>
      <c r="E39" s="14">
        <v>0</v>
      </c>
      <c r="F39" s="13">
        <f t="shared" si="0"/>
        <v>22829829.329999998</v>
      </c>
      <c r="G39" s="15">
        <v>56569000</v>
      </c>
      <c r="H39" s="15">
        <f t="shared" si="1"/>
        <v>-3749225.450000003</v>
      </c>
      <c r="I39" s="13" t="s">
        <v>50</v>
      </c>
    </row>
    <row r="40" spans="1:9" ht="16.5" x14ac:dyDescent="0.25">
      <c r="A40" s="17" t="s">
        <v>51</v>
      </c>
      <c r="B40" s="18">
        <v>2000000</v>
      </c>
      <c r="C40" s="19">
        <v>0</v>
      </c>
      <c r="D40" s="19">
        <v>2000000</v>
      </c>
      <c r="E40" s="18">
        <v>0</v>
      </c>
      <c r="F40" s="13">
        <f t="shared" si="0"/>
        <v>2000000</v>
      </c>
      <c r="G40" s="20"/>
      <c r="H40" s="15">
        <f t="shared" si="1"/>
        <v>0</v>
      </c>
      <c r="I40" s="13"/>
    </row>
    <row r="41" spans="1:9" ht="16.5" x14ac:dyDescent="0.25">
      <c r="A41" s="11" t="s">
        <v>52</v>
      </c>
      <c r="B41" s="14">
        <v>20000000</v>
      </c>
      <c r="C41" s="13">
        <v>0</v>
      </c>
      <c r="D41" s="13">
        <v>0</v>
      </c>
      <c r="E41" s="14">
        <v>0</v>
      </c>
      <c r="F41" s="13">
        <f t="shared" si="0"/>
        <v>0</v>
      </c>
      <c r="G41" s="15"/>
      <c r="H41" s="15">
        <f t="shared" si="1"/>
        <v>20000000</v>
      </c>
      <c r="I41" s="13" t="s">
        <v>53</v>
      </c>
    </row>
    <row r="42" spans="1:9" ht="16.5" x14ac:dyDescent="0.25">
      <c r="A42" s="11" t="s">
        <v>54</v>
      </c>
      <c r="B42" s="14">
        <v>19000000</v>
      </c>
      <c r="C42" s="13">
        <v>0</v>
      </c>
      <c r="D42" s="13">
        <v>1000000</v>
      </c>
      <c r="E42" s="14">
        <v>0</v>
      </c>
      <c r="F42" s="13">
        <f t="shared" si="0"/>
        <v>1000000</v>
      </c>
      <c r="G42" s="15">
        <v>18000000</v>
      </c>
      <c r="H42" s="15">
        <f t="shared" si="1"/>
        <v>0</v>
      </c>
      <c r="I42" s="16"/>
    </row>
    <row r="43" spans="1:9" ht="33" x14ac:dyDescent="0.25">
      <c r="A43" s="11" t="s">
        <v>55</v>
      </c>
      <c r="B43" s="14">
        <v>-3532547.25</v>
      </c>
      <c r="C43" s="13">
        <v>-1382065.41</v>
      </c>
      <c r="D43" s="13">
        <v>0</v>
      </c>
      <c r="E43" s="14">
        <v>0</v>
      </c>
      <c r="F43" s="13">
        <f t="shared" si="0"/>
        <v>-1382065.41</v>
      </c>
      <c r="G43" s="15"/>
      <c r="H43" s="15">
        <f t="shared" si="1"/>
        <v>-2150481.84</v>
      </c>
      <c r="I43" s="13" t="s">
        <v>56</v>
      </c>
    </row>
    <row r="44" spans="1:9" ht="16.5" x14ac:dyDescent="0.25">
      <c r="A44" s="11" t="s">
        <v>57</v>
      </c>
      <c r="B44" s="14">
        <v>9050897.9900000002</v>
      </c>
      <c r="C44" s="13">
        <v>0</v>
      </c>
      <c r="D44" s="13">
        <v>4302668.7</v>
      </c>
      <c r="E44" s="14">
        <v>1164000</v>
      </c>
      <c r="F44" s="13">
        <f t="shared" si="0"/>
        <v>5466668.7000000002</v>
      </c>
      <c r="G44" s="15">
        <v>3584000</v>
      </c>
      <c r="H44" s="15">
        <f t="shared" si="1"/>
        <v>229.29000000003725</v>
      </c>
      <c r="I44" s="13"/>
    </row>
    <row r="45" spans="1:9" ht="16.5" x14ac:dyDescent="0.25">
      <c r="A45" s="17" t="s">
        <v>58</v>
      </c>
      <c r="B45" s="18">
        <v>18712934.02</v>
      </c>
      <c r="C45" s="19">
        <v>2213098.3199999998</v>
      </c>
      <c r="D45" s="19">
        <v>1200000</v>
      </c>
      <c r="E45" s="18">
        <v>0</v>
      </c>
      <c r="F45" s="13">
        <f t="shared" si="0"/>
        <v>3413098.32</v>
      </c>
      <c r="G45" s="20">
        <v>15299000</v>
      </c>
      <c r="H45" s="15">
        <f t="shared" si="1"/>
        <v>835.69999999925494</v>
      </c>
      <c r="I45" s="13"/>
    </row>
    <row r="46" spans="1:9" ht="49.5" x14ac:dyDescent="0.25">
      <c r="A46" s="11" t="s">
        <v>59</v>
      </c>
      <c r="B46" s="14">
        <v>-561000</v>
      </c>
      <c r="C46" s="13">
        <v>0</v>
      </c>
      <c r="D46" s="13">
        <v>0</v>
      </c>
      <c r="E46" s="13">
        <v>0</v>
      </c>
      <c r="F46" s="13">
        <f t="shared" si="0"/>
        <v>0</v>
      </c>
      <c r="G46" s="15"/>
      <c r="H46" s="15">
        <f t="shared" si="1"/>
        <v>-561000</v>
      </c>
      <c r="I46" s="13" t="s">
        <v>60</v>
      </c>
    </row>
    <row r="47" spans="1:9" ht="16.5" x14ac:dyDescent="0.25">
      <c r="A47" s="11" t="s">
        <v>61</v>
      </c>
      <c r="B47" s="14"/>
      <c r="C47" s="13"/>
      <c r="D47" s="13"/>
      <c r="E47" s="13"/>
      <c r="F47" s="13">
        <f t="shared" si="0"/>
        <v>0</v>
      </c>
      <c r="G47" s="15">
        <v>5000000</v>
      </c>
      <c r="H47" s="15">
        <f t="shared" si="1"/>
        <v>-5000000</v>
      </c>
      <c r="I47" s="13" t="s">
        <v>62</v>
      </c>
    </row>
    <row r="48" spans="1:9" ht="16.5" hidden="1" x14ac:dyDescent="0.25">
      <c r="A48" s="11"/>
      <c r="B48" s="14"/>
      <c r="C48" s="13"/>
      <c r="D48" s="13"/>
      <c r="E48" s="13"/>
      <c r="F48" s="13">
        <f t="shared" si="0"/>
        <v>0</v>
      </c>
      <c r="G48" s="15"/>
      <c r="H48" s="15">
        <f t="shared" si="1"/>
        <v>0</v>
      </c>
      <c r="I48" s="13"/>
    </row>
    <row r="49" spans="1:9" ht="16.5" x14ac:dyDescent="0.25">
      <c r="A49" s="22" t="s">
        <v>63</v>
      </c>
      <c r="B49" s="23">
        <f t="shared" ref="B49:H49" si="2">+SUM(B4:B48)</f>
        <v>934459926.96000004</v>
      </c>
      <c r="C49" s="23">
        <f t="shared" si="2"/>
        <v>18177590.77</v>
      </c>
      <c r="D49" s="23">
        <f t="shared" si="2"/>
        <v>403572418.74000001</v>
      </c>
      <c r="E49" s="23">
        <f t="shared" si="2"/>
        <v>6821019.1400000006</v>
      </c>
      <c r="F49" s="23">
        <f t="shared" si="2"/>
        <v>428571028.64999992</v>
      </c>
      <c r="G49" s="23">
        <f t="shared" si="2"/>
        <v>499127000</v>
      </c>
      <c r="H49" s="24">
        <f t="shared" si="2"/>
        <v>6761898.3099999912</v>
      </c>
      <c r="I49" s="22"/>
    </row>
    <row r="50" spans="1:9" ht="16.5" hidden="1" x14ac:dyDescent="0.25">
      <c r="A50" s="25"/>
      <c r="B50" s="25"/>
      <c r="C50" s="25"/>
      <c r="D50" s="25"/>
      <c r="E50" s="25"/>
      <c r="F50" s="25"/>
      <c r="G50" s="26"/>
      <c r="H50" s="25"/>
      <c r="I50" s="25"/>
    </row>
    <row r="51" spans="1:9" ht="16.5" x14ac:dyDescent="0.25">
      <c r="A51" s="25" t="s">
        <v>64</v>
      </c>
      <c r="B51" s="25"/>
      <c r="C51" s="25"/>
      <c r="D51" s="25"/>
      <c r="E51" s="25"/>
      <c r="F51" s="25"/>
      <c r="G51" s="26">
        <v>25751000</v>
      </c>
      <c r="H51" s="25"/>
      <c r="I51" s="25"/>
    </row>
    <row r="52" spans="1:9" ht="16.5" x14ac:dyDescent="0.25">
      <c r="A52" s="25" t="s">
        <v>65</v>
      </c>
      <c r="B52" s="25"/>
      <c r="C52" s="25"/>
      <c r="D52" s="25"/>
      <c r="E52" s="25"/>
      <c r="F52" s="25"/>
      <c r="G52" s="26">
        <v>13385000</v>
      </c>
      <c r="H52" s="25"/>
      <c r="I52" s="25"/>
    </row>
    <row r="53" spans="1:9" ht="16.5" x14ac:dyDescent="0.25">
      <c r="A53" s="25" t="s">
        <v>66</v>
      </c>
      <c r="B53" s="25"/>
      <c r="C53" s="25"/>
      <c r="D53" s="25"/>
      <c r="E53" s="25"/>
      <c r="F53" s="25"/>
      <c r="G53" s="26">
        <v>1004000</v>
      </c>
      <c r="H53" s="25"/>
      <c r="I53" s="25"/>
    </row>
    <row r="54" spans="1:9" ht="16.5" x14ac:dyDescent="0.25">
      <c r="A54" s="25" t="s">
        <v>67</v>
      </c>
      <c r="B54" s="25"/>
      <c r="C54" s="25"/>
      <c r="D54" s="25"/>
      <c r="E54" s="25"/>
      <c r="F54" s="25"/>
      <c r="G54" s="26">
        <v>2226000</v>
      </c>
      <c r="H54" s="25"/>
      <c r="I54" s="25"/>
    </row>
    <row r="55" spans="1:9" ht="16.5" x14ac:dyDescent="0.25">
      <c r="A55" s="25" t="s">
        <v>68</v>
      </c>
      <c r="B55" s="25"/>
      <c r="C55" s="25"/>
      <c r="D55" s="25"/>
      <c r="E55" s="25"/>
      <c r="F55" s="25"/>
      <c r="G55" s="26">
        <v>578499</v>
      </c>
      <c r="H55" s="25"/>
      <c r="I55" s="25"/>
    </row>
    <row r="56" spans="1:9" ht="16.5" x14ac:dyDescent="0.25">
      <c r="A56" s="25" t="s">
        <v>69</v>
      </c>
      <c r="B56" s="25"/>
      <c r="C56" s="25"/>
      <c r="D56" s="25"/>
      <c r="E56" s="25"/>
      <c r="F56" s="25"/>
      <c r="G56" s="26">
        <v>10092006</v>
      </c>
      <c r="H56" s="25"/>
      <c r="I56" s="25"/>
    </row>
    <row r="57" spans="1:9" ht="16.5" x14ac:dyDescent="0.25">
      <c r="A57" s="25" t="s">
        <v>70</v>
      </c>
      <c r="B57" s="25"/>
      <c r="C57" s="25"/>
      <c r="D57" s="25"/>
      <c r="E57" s="25"/>
      <c r="F57" s="25"/>
      <c r="G57" s="26">
        <v>200000</v>
      </c>
      <c r="H57" s="25"/>
      <c r="I57" s="25"/>
    </row>
    <row r="58" spans="1:9" ht="16.5" x14ac:dyDescent="0.25">
      <c r="A58" s="25" t="s">
        <v>71</v>
      </c>
      <c r="B58" s="25"/>
      <c r="C58" s="25"/>
      <c r="D58" s="25"/>
      <c r="E58" s="25"/>
      <c r="F58" s="25"/>
      <c r="G58" s="26">
        <v>20000000</v>
      </c>
      <c r="H58" s="25"/>
      <c r="I58" s="25"/>
    </row>
    <row r="59" spans="1:9" ht="16.5" x14ac:dyDescent="0.25">
      <c r="A59" s="25"/>
      <c r="B59" s="25"/>
      <c r="C59" s="25"/>
      <c r="D59" s="25"/>
      <c r="E59" s="25"/>
      <c r="F59" s="25"/>
      <c r="G59" s="26"/>
      <c r="H59" s="25"/>
      <c r="I59" s="25"/>
    </row>
    <row r="60" spans="1:9" ht="16.5" x14ac:dyDescent="0.25">
      <c r="A60" s="27" t="s">
        <v>72</v>
      </c>
      <c r="B60" s="27"/>
      <c r="C60" s="27"/>
      <c r="D60" s="27"/>
      <c r="E60" s="27"/>
      <c r="F60" s="27"/>
      <c r="G60" s="28">
        <f>+SUM(G49:G59)</f>
        <v>572363505</v>
      </c>
      <c r="H60" s="27"/>
      <c r="I60" s="27"/>
    </row>
  </sheetData>
  <mergeCells count="1">
    <mergeCell ref="A1:I1"/>
  </mergeCells>
  <pageMargins left="0.7" right="0.7" top="0.75" bottom="0.75" header="0.3" footer="0.3"/>
  <pageSetup paperSize="9" scale="6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2026-05-19T06:49:43Z</dcterms:created>
  <dcterms:modified xsi:type="dcterms:W3CDTF">2026-05-19T06:51:01Z</dcterms:modified>
</cp:coreProperties>
</file>