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20" windowHeight="11580"/>
  </bookViews>
  <sheets>
    <sheet name="10.12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<sst xmlns="http://schemas.openxmlformats.org/spreadsheetml/2006/main" count="63" uniqueCount="63">
  <si>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THEO DÕI THU TIỀN NGÀY 10/12/25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</si>
  <si>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</si>
  <si>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</si>
  <si>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</si>
  <si>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</si>
  <si>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</si>
  <si>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</si>
  <si>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</si>
  <si>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</si>
  <si>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</si>
  <si>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10244-Nguyễn Thị Thanh Nhã</t>
  </si>
  <si>
    <t>10277-Nguyễn Thị Mai Phương</t>
  </si>
  <si>
    <t>10285-Trần Thị Thanh Mai</t>
  </si>
  <si>
    <t>10286-Phạm Thị Hải</t>
  </si>
  <si>
    <t>10294-Lê Thị Hồng Nhung</t>
  </si>
  <si>
    <t>10300-Nguyễn Thị Ngọc Hậu</t>
  </si>
  <si>
    <t>10309-Phạm Thị Hằng</t>
  </si>
  <si>
    <t>107-Nguyễn Ngọc Nhi</t>
  </si>
  <si>
    <t>120-Nguyễn Thị Quyên</t>
  </si>
  <si>
    <t>122-Nguyễn Thị Tường Vi</t>
  </si>
  <si>
    <t>123-Lê Thị Thu Hường</t>
  </si>
  <si>
    <t>152-Nguyễn Thị Hồng Nhi</t>
  </si>
  <si>
    <t>164-Trần Thị Hồng Phúc</t>
  </si>
  <si>
    <t>175-Phạm Thị Cẩm Tiên</t>
  </si>
  <si>
    <t>196-Nguyễn Thị Kim Oanh</t>
  </si>
  <si>
    <t>219-Lê Thị Thu Hà</t>
  </si>
  <si>
    <t>252-Nguyễn Thị Thùy Trang</t>
  </si>
  <si>
    <t>Tổ BLVP có 3 BN ra viện tạm ứng dư, kế toán đã chi hoàn</t>
  </si>
  <si>
    <t>292-Trần Thị Phương Thảo</t>
  </si>
  <si>
    <t>354-Lê Thị Hồng Thúy</t>
  </si>
  <si>
    <t>375-Đào Thị Hoài Trinh</t>
  </si>
  <si>
    <t>463-Nguyễn Minh Hoàng</t>
  </si>
  <si>
    <t>482-Phạm Thị Thu Hương</t>
  </si>
  <si>
    <t>483-Nguyễn Thị Thu Trinh</t>
  </si>
  <si>
    <t>Phát sinh tạm ứng 5 triệu - điều dưỡng nộp ngày 11/12</t>
  </si>
  <si>
    <t>505-Lê Thị Hồng Duyên</t>
  </si>
  <si>
    <t>51-Nguyễn Thị Thảo</t>
  </si>
  <si>
    <t>56-Đinh Thị Thùy Giang</t>
  </si>
  <si>
    <t>620-Vũ Thị Hải Yến</t>
  </si>
  <si>
    <t>636-Nguyễn Thị Quệ</t>
  </si>
  <si>
    <t>638-Nguyễn Thị Ánh Nguyệt</t>
  </si>
  <si>
    <t>641-Nguyễn Hải Anh</t>
  </si>
  <si>
    <t>648-Lê Thị Chinh</t>
  </si>
  <si>
    <t>696-Nguyễn Thị Kim Thơ</t>
  </si>
  <si>
    <t>700-Ksor H' Lợi</t>
  </si>
  <si>
    <t>702-Huỳnh Thị Tường Vy</t>
  </si>
  <si>
    <t>707-Hoàng Thị Thanh Huyền</t>
  </si>
  <si>
    <t>70-Nguyễn Thị Hạnh</t>
  </si>
  <si>
    <t>782-Nông Thị Thảo</t>
  </si>
  <si>
    <t>79-Hồ Thị Hà</t>
  </si>
  <si>
    <t>82-Lê Thị Minh Phượng</t>
  </si>
  <si>
    <t>86-Nguyễn Thị Song Nhàn</t>
  </si>
  <si>
    <t>92-Nguyễn Thị Thu Thủy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</si>
  <si>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</si>
  <si>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</si>
  <si>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</si>
  <si>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</si>
  <si>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</si>
  <si>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</si>
  <si>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</si>
  <si>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</si>
  <si>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</si>
  <si>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10/12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</si>
</sst>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  <numFmt numFmtId="179" formatCode="_(* #,##0_);_(* \(#,##0\);_(* &quot;-&quot;??_);_(@_)"/>
  </numFmts>
  <fonts count="26">
    <font>
      <sz val="11.7"/>
      <color theme="1"/>
      <name val="Times New Roman"/>
      <charset val="163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/>
    <xf numFmtId="178" fontId="2" fillId="0" borderId="0" xfId="1" applyNumberFormat="1" applyFont="1" applyFill="1"/>
    <xf numFmtId="179" fontId="2" fillId="0" borderId="0" xfId="1" applyNumberFormat="1" applyFont="1" applyFill="1"/>
    <xf numFmtId="179" fontId="2" fillId="0" borderId="0" xfId="1" applyNumberFormat="1" applyFont="1" applyFill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178" fontId="3" fillId="0" borderId="1" xfId="1" applyNumberFormat="1" applyFont="1" applyFill="1" applyBorder="1" applyAlignment="1">
      <alignment horizontal="center" vertical="center" wrapText="1"/>
    </xf>
    <xf numFmtId="179" fontId="3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78" fontId="4" fillId="0" borderId="1" xfId="1" applyNumberFormat="1" applyFont="1" applyFill="1" applyBorder="1" applyAlignment="1">
      <alignment vertical="center"/>
    </xf>
    <xf numFmtId="179" fontId="4" fillId="0" borderId="1" xfId="1" applyNumberFormat="1" applyFont="1" applyFill="1" applyBorder="1" applyAlignment="1">
      <alignment vertical="center" wrapText="1"/>
    </xf>
    <xf numFmtId="178" fontId="4" fillId="0" borderId="1" xfId="1" applyNumberFormat="1" applyFont="1" applyFill="1" applyBorder="1" applyAlignment="1">
      <alignment vertical="center" wrapText="1"/>
    </xf>
    <xf numFmtId="179" fontId="4" fillId="0" borderId="1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78" fontId="4" fillId="0" borderId="2" xfId="1" applyNumberFormat="1" applyFont="1" applyFill="1" applyBorder="1" applyAlignment="1">
      <alignment horizontal="center" vertical="center" wrapText="1"/>
    </xf>
    <xf numFmtId="179" fontId="4" fillId="0" borderId="2" xfId="1" applyNumberFormat="1" applyFont="1" applyFill="1" applyBorder="1" applyAlignment="1">
      <alignment horizontal="center" vertical="center" wrapText="1"/>
    </xf>
    <xf numFmtId="179" fontId="4" fillId="0" borderId="2" xfId="1" applyNumberFormat="1" applyFont="1" applyFill="1" applyBorder="1" applyAlignment="1">
      <alignment horizontal="center" vertical="center"/>
    </xf>
    <xf numFmtId="179" fontId="5" fillId="0" borderId="1" xfId="1" applyNumberFormat="1" applyFont="1" applyFill="1" applyBorder="1" applyAlignment="1">
      <alignment vertical="center"/>
    </xf>
    <xf numFmtId="0" fontId="3" fillId="0" borderId="1" xfId="0" applyFont="1" applyBorder="1"/>
    <xf numFmtId="178" fontId="3" fillId="0" borderId="1" xfId="1" applyNumberFormat="1" applyFont="1" applyFill="1" applyBorder="1"/>
    <xf numFmtId="179" fontId="3" fillId="0" borderId="1" xfId="0" applyNumberFormat="1" applyFont="1" applyBorder="1"/>
    <xf numFmtId="0" fontId="4" fillId="0" borderId="0" xfId="0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8" fontId="3" fillId="0" borderId="0" xfId="1" applyNumberFormat="1" applyFont="1" applyAlignment="1">
      <alignment horizontal="left" vertical="center"/>
    </xf>
    <xf numFmtId="179" fontId="3" fillId="0" borderId="1" xfId="1" applyNumberFormat="1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QUYNH NHU 2025\10. MINH LO\BC THU CHI\Thang 12\1012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Sheet1"/>
    </sheetNames>
    <sheetDataSet>
      <sheetData sheetId="0">
        <row r="415">
          <cell r="V415">
            <v>484545.44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8"/>
  <sheetViews>
    <sheetView tabSelected="1" topLeftCell="A26" workbookViewId="0">
      <selection activeCell="E54" sqref="E54"/>
    </sheetView>
  </sheetViews>
  <sheetFormatPr defaultColWidth="9" defaultRowHeight="15.75"/>
  <cols>
    <col min="1" max="1" width="28.25" style="1" customWidth="1"/>
    <col min="2" max="8" width="15.375" style="1" customWidth="1"/>
    <col min="9" max="9" width="36.125" style="1" customWidth="1"/>
    <col min="10" max="16384" width="9" style="1"/>
  </cols>
  <sheetData>
    <row r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/>
      <c r="B2" s="4"/>
      <c r="C2" s="5"/>
      <c r="D2" s="5"/>
      <c r="E2" s="5"/>
      <c r="F2" s="5"/>
      <c r="G2" s="5"/>
      <c r="H2" s="5"/>
      <c r="I2" s="6"/>
    </row>
    <row r="3" ht="49.5" spans="1:9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27" t="s">
        <v>8</v>
      </c>
      <c r="I3" s="9"/>
    </row>
    <row r="4" ht="16.5" spans="1:9">
      <c r="A4" s="10" t="s">
        <v>9</v>
      </c>
      <c r="B4" s="11">
        <v>27827901.1</v>
      </c>
      <c r="C4" s="12">
        <v>763951.68</v>
      </c>
      <c r="D4" s="12">
        <v>7763246.64</v>
      </c>
      <c r="E4" s="13">
        <v>0</v>
      </c>
      <c r="F4" s="12">
        <f>+C4+D4+E4</f>
        <v>8527198.32</v>
      </c>
      <c r="G4" s="14">
        <v>19301000</v>
      </c>
      <c r="H4" s="14">
        <f>+B4-F4-G4</f>
        <v>-297.219999998808</v>
      </c>
      <c r="I4" s="12"/>
    </row>
    <row r="5" ht="16.5" spans="1:9">
      <c r="A5" s="10" t="s">
        <v>10</v>
      </c>
      <c r="B5" s="13">
        <v>207000</v>
      </c>
      <c r="C5" s="12">
        <v>0</v>
      </c>
      <c r="D5" s="12">
        <v>207000</v>
      </c>
      <c r="E5" s="13">
        <v>0</v>
      </c>
      <c r="F5" s="12">
        <f t="shared" ref="F5:F46" si="0">+C5+D5+E5</f>
        <v>207000</v>
      </c>
      <c r="G5" s="14"/>
      <c r="H5" s="14">
        <f t="shared" ref="H5:H46" si="1">+B5-F5-G5</f>
        <v>0</v>
      </c>
      <c r="I5" s="12"/>
    </row>
    <row r="6" ht="16.5" spans="1:9">
      <c r="A6" s="10" t="s">
        <v>11</v>
      </c>
      <c r="B6" s="13">
        <v>10461063.35</v>
      </c>
      <c r="C6" s="12">
        <v>0</v>
      </c>
      <c r="D6" s="12">
        <v>4633176</v>
      </c>
      <c r="E6" s="13">
        <v>0</v>
      </c>
      <c r="F6" s="12">
        <f t="shared" si="0"/>
        <v>4633176</v>
      </c>
      <c r="G6" s="14">
        <v>5828000</v>
      </c>
      <c r="H6" s="14">
        <f t="shared" si="1"/>
        <v>-112.650000000373</v>
      </c>
      <c r="I6" s="12"/>
    </row>
    <row r="7" ht="16.5" spans="1:9">
      <c r="A7" s="15" t="s">
        <v>12</v>
      </c>
      <c r="B7" s="16">
        <v>15942488.24</v>
      </c>
      <c r="C7" s="17">
        <v>200000</v>
      </c>
      <c r="D7" s="17">
        <v>10956082.82</v>
      </c>
      <c r="E7" s="16">
        <v>0</v>
      </c>
      <c r="F7" s="12">
        <f t="shared" si="0"/>
        <v>11156082.82</v>
      </c>
      <c r="G7" s="18">
        <v>4786000</v>
      </c>
      <c r="H7" s="14">
        <f t="shared" si="1"/>
        <v>405.419999999925</v>
      </c>
      <c r="I7" s="12"/>
    </row>
    <row r="8" ht="16.5" spans="1:9">
      <c r="A8" s="10" t="s">
        <v>13</v>
      </c>
      <c r="B8" s="13">
        <v>6887484.45</v>
      </c>
      <c r="C8" s="12">
        <v>0</v>
      </c>
      <c r="D8" s="12">
        <v>1760462.84</v>
      </c>
      <c r="E8" s="13">
        <v>0</v>
      </c>
      <c r="F8" s="12">
        <f t="shared" si="0"/>
        <v>1760462.84</v>
      </c>
      <c r="G8" s="14">
        <v>5127000</v>
      </c>
      <c r="H8" s="14">
        <f t="shared" si="1"/>
        <v>21.6100000003353</v>
      </c>
      <c r="I8" s="12"/>
    </row>
    <row r="9" ht="16.5" spans="1:9">
      <c r="A9" s="10" t="s">
        <v>14</v>
      </c>
      <c r="B9" s="13">
        <v>1850000</v>
      </c>
      <c r="C9" s="12">
        <v>0</v>
      </c>
      <c r="D9" s="12">
        <v>1850000</v>
      </c>
      <c r="E9" s="13">
        <v>0</v>
      </c>
      <c r="F9" s="12">
        <f t="shared" si="0"/>
        <v>1850000</v>
      </c>
      <c r="G9" s="14"/>
      <c r="H9" s="14">
        <f t="shared" si="1"/>
        <v>0</v>
      </c>
      <c r="I9" s="12"/>
    </row>
    <row r="10" ht="16.5" spans="1:9">
      <c r="A10" s="10" t="s">
        <v>15</v>
      </c>
      <c r="B10" s="13">
        <v>18886936.26</v>
      </c>
      <c r="C10" s="12">
        <v>1923255.56</v>
      </c>
      <c r="D10" s="12">
        <v>6257872.72</v>
      </c>
      <c r="E10" s="13">
        <v>0</v>
      </c>
      <c r="F10" s="12">
        <f t="shared" si="0"/>
        <v>8181128.28</v>
      </c>
      <c r="G10" s="14">
        <v>10705000</v>
      </c>
      <c r="H10" s="14">
        <f t="shared" si="1"/>
        <v>807.98000000231</v>
      </c>
      <c r="I10" s="12"/>
    </row>
    <row r="11" ht="16.5" spans="1:9">
      <c r="A11" s="10" t="s">
        <v>16</v>
      </c>
      <c r="B11" s="13">
        <v>10412000</v>
      </c>
      <c r="C11" s="12">
        <v>4212000</v>
      </c>
      <c r="D11" s="12">
        <v>6200000</v>
      </c>
      <c r="E11" s="13">
        <v>0</v>
      </c>
      <c r="F11" s="12">
        <f t="shared" si="0"/>
        <v>10412000</v>
      </c>
      <c r="G11" s="14"/>
      <c r="H11" s="14">
        <f t="shared" si="1"/>
        <v>0</v>
      </c>
      <c r="I11" s="12"/>
    </row>
    <row r="12" ht="16.5" spans="1:9">
      <c r="A12" s="15" t="s">
        <v>17</v>
      </c>
      <c r="B12" s="16">
        <v>3806893.21</v>
      </c>
      <c r="C12" s="17">
        <v>0</v>
      </c>
      <c r="D12" s="17">
        <v>908575.4</v>
      </c>
      <c r="E12" s="16">
        <v>0</v>
      </c>
      <c r="F12" s="12">
        <f t="shared" si="0"/>
        <v>908575.4</v>
      </c>
      <c r="G12" s="18">
        <v>2898000</v>
      </c>
      <c r="H12" s="14">
        <f t="shared" si="1"/>
        <v>317.810000000056</v>
      </c>
      <c r="I12" s="12"/>
    </row>
    <row r="13" ht="16.5" spans="1:9">
      <c r="A13" s="10" t="s">
        <v>18</v>
      </c>
      <c r="B13" s="13">
        <v>1876473.49</v>
      </c>
      <c r="C13" s="12">
        <v>0</v>
      </c>
      <c r="D13" s="12">
        <v>731080.79</v>
      </c>
      <c r="E13" s="13">
        <v>0</v>
      </c>
      <c r="F13" s="12">
        <f t="shared" si="0"/>
        <v>731080.79</v>
      </c>
      <c r="G13" s="14">
        <v>1145000</v>
      </c>
      <c r="H13" s="14">
        <f t="shared" si="1"/>
        <v>392.699999999953</v>
      </c>
      <c r="I13" s="12"/>
    </row>
    <row r="14" ht="16.5" spans="1:9">
      <c r="A14" s="10" t="s">
        <v>19</v>
      </c>
      <c r="B14" s="13">
        <v>19401585.3</v>
      </c>
      <c r="C14" s="12">
        <v>0</v>
      </c>
      <c r="D14" s="12">
        <v>6091000</v>
      </c>
      <c r="E14" s="13">
        <v>0</v>
      </c>
      <c r="F14" s="12">
        <f t="shared" si="0"/>
        <v>6091000</v>
      </c>
      <c r="G14" s="14">
        <v>13310000</v>
      </c>
      <c r="H14" s="14">
        <f t="shared" si="1"/>
        <v>585.300000000745</v>
      </c>
      <c r="I14" s="12"/>
    </row>
    <row r="15" ht="16.5" spans="1:9">
      <c r="A15" s="10" t="s">
        <v>20</v>
      </c>
      <c r="B15" s="13">
        <v>13265777.99</v>
      </c>
      <c r="C15" s="12">
        <v>200000</v>
      </c>
      <c r="D15" s="12">
        <v>2461157.78</v>
      </c>
      <c r="E15" s="13">
        <v>0</v>
      </c>
      <c r="F15" s="12">
        <f t="shared" si="0"/>
        <v>2661157.78</v>
      </c>
      <c r="G15" s="14">
        <v>10605000</v>
      </c>
      <c r="H15" s="14">
        <f t="shared" si="1"/>
        <v>-379.789999999106</v>
      </c>
      <c r="I15" s="12"/>
    </row>
    <row r="16" ht="16.5" spans="1:9">
      <c r="A16" s="10" t="s">
        <v>21</v>
      </c>
      <c r="B16" s="13">
        <v>98672502.9</v>
      </c>
      <c r="C16" s="12">
        <v>484545.44</v>
      </c>
      <c r="D16" s="12">
        <v>38189795.17</v>
      </c>
      <c r="E16" s="13">
        <v>0</v>
      </c>
      <c r="F16" s="12">
        <f>+C16+D16+E16-'[1]Sheet 1'!V415</f>
        <v>38189795.17</v>
      </c>
      <c r="G16" s="14">
        <v>60482000</v>
      </c>
      <c r="H16" s="14">
        <f t="shared" si="1"/>
        <v>707.730000004172</v>
      </c>
      <c r="I16" s="12"/>
    </row>
    <row r="17" ht="16.5" spans="1:9">
      <c r="A17" s="10" t="s">
        <v>22</v>
      </c>
      <c r="B17" s="13">
        <v>5000000</v>
      </c>
      <c r="C17" s="12">
        <v>0</v>
      </c>
      <c r="D17" s="12">
        <v>5000000</v>
      </c>
      <c r="E17" s="13">
        <v>0</v>
      </c>
      <c r="F17" s="12">
        <f t="shared" si="0"/>
        <v>5000000</v>
      </c>
      <c r="G17" s="14"/>
      <c r="H17" s="14">
        <f t="shared" si="1"/>
        <v>0</v>
      </c>
      <c r="I17" s="12"/>
    </row>
    <row r="18" ht="16.5" spans="1:9">
      <c r="A18" s="10" t="s">
        <v>23</v>
      </c>
      <c r="B18" s="13">
        <v>52159700.91</v>
      </c>
      <c r="C18" s="12">
        <v>0</v>
      </c>
      <c r="D18" s="12">
        <v>32683240.08</v>
      </c>
      <c r="E18" s="13">
        <v>0</v>
      </c>
      <c r="F18" s="12">
        <f t="shared" si="0"/>
        <v>32683240.08</v>
      </c>
      <c r="G18" s="14">
        <v>19476000</v>
      </c>
      <c r="H18" s="14">
        <f t="shared" si="1"/>
        <v>460.829999998212</v>
      </c>
      <c r="I18" s="12"/>
    </row>
    <row r="19" ht="16.5" spans="1:9">
      <c r="A19" s="10" t="s">
        <v>24</v>
      </c>
      <c r="B19" s="13">
        <v>4175772.08</v>
      </c>
      <c r="C19" s="12">
        <v>0</v>
      </c>
      <c r="D19" s="12">
        <v>837628.7</v>
      </c>
      <c r="E19" s="13">
        <v>0</v>
      </c>
      <c r="F19" s="12">
        <f t="shared" si="0"/>
        <v>837628.7</v>
      </c>
      <c r="G19" s="14">
        <v>3338000</v>
      </c>
      <c r="H19" s="14">
        <f t="shared" si="1"/>
        <v>143.379999999888</v>
      </c>
      <c r="I19" s="12"/>
    </row>
    <row r="20" ht="16.5" spans="1:9">
      <c r="A20" s="10" t="s">
        <v>25</v>
      </c>
      <c r="B20" s="13">
        <v>3333668.11</v>
      </c>
      <c r="C20" s="12">
        <v>0</v>
      </c>
      <c r="D20" s="12">
        <v>1735782.31</v>
      </c>
      <c r="E20" s="13">
        <v>0</v>
      </c>
      <c r="F20" s="12">
        <f t="shared" si="0"/>
        <v>1735782.31</v>
      </c>
      <c r="G20" s="14">
        <v>1598000</v>
      </c>
      <c r="H20" s="14">
        <f t="shared" si="1"/>
        <v>-114.200000000186</v>
      </c>
      <c r="I20" s="12"/>
    </row>
    <row r="21" ht="33" spans="1:9">
      <c r="A21" s="10" t="s">
        <v>26</v>
      </c>
      <c r="B21" s="13">
        <v>3781408.17</v>
      </c>
      <c r="C21" s="12">
        <v>0</v>
      </c>
      <c r="D21" s="12">
        <v>6316213.51</v>
      </c>
      <c r="E21" s="13">
        <v>5247102.56</v>
      </c>
      <c r="F21" s="12">
        <f t="shared" si="0"/>
        <v>11563316.07</v>
      </c>
      <c r="G21" s="14"/>
      <c r="H21" s="14">
        <f t="shared" si="1"/>
        <v>-7781907.9</v>
      </c>
      <c r="I21" s="12" t="s">
        <v>27</v>
      </c>
    </row>
    <row r="22" ht="16.5" spans="1:9">
      <c r="A22" s="15" t="s">
        <v>28</v>
      </c>
      <c r="B22" s="16">
        <v>12560360.3</v>
      </c>
      <c r="C22" s="17">
        <v>0</v>
      </c>
      <c r="D22" s="17">
        <v>3277947.15</v>
      </c>
      <c r="E22" s="16">
        <v>0</v>
      </c>
      <c r="F22" s="12">
        <f t="shared" si="0"/>
        <v>3277947.15</v>
      </c>
      <c r="G22" s="18">
        <v>9282000</v>
      </c>
      <c r="H22" s="14">
        <f t="shared" si="1"/>
        <v>413.150000000373</v>
      </c>
      <c r="I22" s="12"/>
    </row>
    <row r="23" ht="16.5" spans="1:9">
      <c r="A23" s="10" t="s">
        <v>29</v>
      </c>
      <c r="B23" s="13">
        <v>10606140.45</v>
      </c>
      <c r="C23" s="12">
        <v>41000</v>
      </c>
      <c r="D23" s="12">
        <v>900000</v>
      </c>
      <c r="E23" s="13">
        <v>0</v>
      </c>
      <c r="F23" s="12">
        <f t="shared" si="0"/>
        <v>941000</v>
      </c>
      <c r="G23" s="14">
        <v>9665000</v>
      </c>
      <c r="H23" s="14">
        <f t="shared" si="1"/>
        <v>140.449999999255</v>
      </c>
      <c r="I23" s="12"/>
    </row>
    <row r="24" ht="16.5" hidden="1" spans="1:9">
      <c r="A24" s="10" t="s">
        <v>30</v>
      </c>
      <c r="B24" s="13">
        <v>0</v>
      </c>
      <c r="C24" s="12">
        <v>0</v>
      </c>
      <c r="D24" s="12">
        <v>0</v>
      </c>
      <c r="E24" s="13">
        <v>0</v>
      </c>
      <c r="F24" s="12">
        <f t="shared" si="0"/>
        <v>0</v>
      </c>
      <c r="G24" s="14"/>
      <c r="H24" s="14">
        <f t="shared" si="1"/>
        <v>0</v>
      </c>
      <c r="I24" s="12"/>
    </row>
    <row r="25" ht="16.5" spans="1:9">
      <c r="A25" s="10" t="s">
        <v>31</v>
      </c>
      <c r="B25" s="13">
        <v>640000</v>
      </c>
      <c r="C25" s="12">
        <v>640000</v>
      </c>
      <c r="D25" s="12">
        <v>0</v>
      </c>
      <c r="E25" s="13">
        <v>0</v>
      </c>
      <c r="F25" s="12">
        <f t="shared" si="0"/>
        <v>640000</v>
      </c>
      <c r="G25" s="14"/>
      <c r="H25" s="14">
        <f t="shared" si="1"/>
        <v>0</v>
      </c>
      <c r="I25" s="12"/>
    </row>
    <row r="26" ht="16.5" spans="1:9">
      <c r="A26" s="15" t="s">
        <v>32</v>
      </c>
      <c r="B26" s="16">
        <v>18502225.28</v>
      </c>
      <c r="C26" s="17">
        <v>0</v>
      </c>
      <c r="D26" s="17">
        <v>4255121.12</v>
      </c>
      <c r="E26" s="16">
        <v>0</v>
      </c>
      <c r="F26" s="12">
        <f t="shared" si="0"/>
        <v>4255121.12</v>
      </c>
      <c r="G26" s="18">
        <v>14247000</v>
      </c>
      <c r="H26" s="14">
        <f t="shared" si="1"/>
        <v>104.160000000149</v>
      </c>
      <c r="I26" s="12"/>
    </row>
    <row r="27" ht="33" spans="1:9">
      <c r="A27" s="10" t="s">
        <v>33</v>
      </c>
      <c r="B27" s="13">
        <v>77621787.75</v>
      </c>
      <c r="C27" s="12">
        <v>10000000</v>
      </c>
      <c r="D27" s="12">
        <v>29280266.21</v>
      </c>
      <c r="E27" s="13">
        <v>0</v>
      </c>
      <c r="F27" s="12">
        <f t="shared" si="0"/>
        <v>39280266.21</v>
      </c>
      <c r="G27" s="14">
        <v>33342000</v>
      </c>
      <c r="H27" s="14">
        <f t="shared" si="1"/>
        <v>4999521.54</v>
      </c>
      <c r="I27" s="12" t="s">
        <v>34</v>
      </c>
    </row>
    <row r="28" ht="16.5" spans="1:9">
      <c r="A28" s="10" t="s">
        <v>35</v>
      </c>
      <c r="B28" s="13">
        <v>6798312.89</v>
      </c>
      <c r="C28" s="12">
        <v>0</v>
      </c>
      <c r="D28" s="12">
        <v>2216150.81</v>
      </c>
      <c r="E28" s="13">
        <v>1212433</v>
      </c>
      <c r="F28" s="12">
        <f t="shared" si="0"/>
        <v>3428583.81</v>
      </c>
      <c r="G28" s="14">
        <v>3370000</v>
      </c>
      <c r="H28" s="14">
        <f t="shared" si="1"/>
        <v>-270.920000000391</v>
      </c>
      <c r="I28" s="12"/>
    </row>
    <row r="29" ht="16.5" spans="1:9">
      <c r="A29" s="10" t="s">
        <v>36</v>
      </c>
      <c r="B29" s="13">
        <v>154147508.03</v>
      </c>
      <c r="C29" s="12">
        <v>0</v>
      </c>
      <c r="D29" s="12">
        <v>89046699.27</v>
      </c>
      <c r="E29" s="13">
        <v>0</v>
      </c>
      <c r="F29" s="12">
        <f t="shared" si="0"/>
        <v>89046699.27</v>
      </c>
      <c r="G29" s="14">
        <v>65100000</v>
      </c>
      <c r="H29" s="14">
        <f t="shared" si="1"/>
        <v>808.760000005364</v>
      </c>
      <c r="I29" s="12"/>
    </row>
    <row r="30" ht="16.5" spans="1:9">
      <c r="A30" s="10" t="s">
        <v>37</v>
      </c>
      <c r="B30" s="13">
        <v>84809246.6</v>
      </c>
      <c r="C30" s="12">
        <v>380000</v>
      </c>
      <c r="D30" s="12">
        <v>16644530.24</v>
      </c>
      <c r="E30" s="13">
        <v>0</v>
      </c>
      <c r="F30" s="12">
        <f t="shared" si="0"/>
        <v>17024530.24</v>
      </c>
      <c r="G30" s="14">
        <v>67784000</v>
      </c>
      <c r="H30" s="14">
        <f t="shared" si="1"/>
        <v>716.359999984503</v>
      </c>
      <c r="I30" s="12"/>
    </row>
    <row r="31" ht="16.5" spans="1:9">
      <c r="A31" s="15" t="s">
        <v>38</v>
      </c>
      <c r="B31" s="16">
        <v>8916699.03</v>
      </c>
      <c r="C31" s="17">
        <v>0</v>
      </c>
      <c r="D31" s="17">
        <v>0</v>
      </c>
      <c r="E31" s="16">
        <v>0</v>
      </c>
      <c r="F31" s="12">
        <f t="shared" si="0"/>
        <v>0</v>
      </c>
      <c r="G31" s="18">
        <v>8917000</v>
      </c>
      <c r="H31" s="14">
        <f t="shared" si="1"/>
        <v>-300.970000000671</v>
      </c>
      <c r="I31" s="12"/>
    </row>
    <row r="32" ht="16.5" hidden="1" spans="1:9">
      <c r="A32" s="10" t="s">
        <v>39</v>
      </c>
      <c r="B32" s="13">
        <v>0</v>
      </c>
      <c r="C32" s="12">
        <v>0</v>
      </c>
      <c r="D32" s="12">
        <v>0</v>
      </c>
      <c r="E32" s="13">
        <v>0</v>
      </c>
      <c r="F32" s="12">
        <f t="shared" si="0"/>
        <v>0</v>
      </c>
      <c r="G32" s="14"/>
      <c r="H32" s="14">
        <f t="shared" si="1"/>
        <v>0</v>
      </c>
      <c r="I32" s="12"/>
    </row>
    <row r="33" ht="16.5" spans="1:9">
      <c r="A33" s="10" t="s">
        <v>40</v>
      </c>
      <c r="B33" s="13">
        <v>98103141.15</v>
      </c>
      <c r="C33" s="12">
        <v>4033119.73</v>
      </c>
      <c r="D33" s="12">
        <v>50363117.85</v>
      </c>
      <c r="E33" s="13">
        <v>0</v>
      </c>
      <c r="F33" s="12">
        <f t="shared" si="0"/>
        <v>54396237.58</v>
      </c>
      <c r="G33" s="14">
        <v>43707000</v>
      </c>
      <c r="H33" s="14">
        <f t="shared" si="1"/>
        <v>-96.4299999922514</v>
      </c>
      <c r="I33" s="12"/>
    </row>
    <row r="34" ht="16.5" spans="1:9">
      <c r="A34" s="15" t="s">
        <v>41</v>
      </c>
      <c r="B34" s="16">
        <v>17830367.38</v>
      </c>
      <c r="C34" s="17">
        <v>0</v>
      </c>
      <c r="D34" s="17">
        <v>1992020.52</v>
      </c>
      <c r="E34" s="16">
        <v>0</v>
      </c>
      <c r="F34" s="12">
        <f t="shared" si="0"/>
        <v>1992020.52</v>
      </c>
      <c r="G34" s="18">
        <v>15838000</v>
      </c>
      <c r="H34" s="14">
        <f t="shared" si="1"/>
        <v>346.859999999404</v>
      </c>
      <c r="I34" s="12"/>
    </row>
    <row r="35" ht="16.5" spans="1:9">
      <c r="A35" s="10" t="s">
        <v>42</v>
      </c>
      <c r="B35" s="13">
        <v>24546529.36</v>
      </c>
      <c r="C35" s="12">
        <v>376000</v>
      </c>
      <c r="D35" s="12">
        <v>12795149.08</v>
      </c>
      <c r="E35" s="13">
        <v>0</v>
      </c>
      <c r="F35" s="12">
        <f t="shared" si="0"/>
        <v>13171149.08</v>
      </c>
      <c r="G35" s="14">
        <v>11375000</v>
      </c>
      <c r="H35" s="14">
        <f t="shared" si="1"/>
        <v>380.279999999329</v>
      </c>
      <c r="I35" s="12"/>
    </row>
    <row r="36" ht="16.5" spans="1:9">
      <c r="A36" s="10" t="s">
        <v>43</v>
      </c>
      <c r="B36" s="13">
        <v>21777751.65</v>
      </c>
      <c r="C36" s="12">
        <v>0</v>
      </c>
      <c r="D36" s="12">
        <v>4200000</v>
      </c>
      <c r="E36" s="13">
        <v>0</v>
      </c>
      <c r="F36" s="12">
        <f t="shared" si="0"/>
        <v>4200000</v>
      </c>
      <c r="G36" s="19">
        <v>17578000</v>
      </c>
      <c r="H36" s="14">
        <f t="shared" si="1"/>
        <v>-248.35000000149</v>
      </c>
      <c r="I36" s="12"/>
    </row>
    <row r="37" ht="16.5" spans="1:9">
      <c r="A37" s="10" t="s">
        <v>44</v>
      </c>
      <c r="B37" s="13">
        <v>69476432.84</v>
      </c>
      <c r="C37" s="12">
        <v>0</v>
      </c>
      <c r="D37" s="12">
        <v>46000000</v>
      </c>
      <c r="E37" s="13">
        <v>0</v>
      </c>
      <c r="F37" s="12">
        <f t="shared" si="0"/>
        <v>46000000</v>
      </c>
      <c r="G37" s="14">
        <f>5476000+18000000</f>
        <v>23476000</v>
      </c>
      <c r="H37" s="14">
        <f t="shared" si="1"/>
        <v>432.840000003576</v>
      </c>
      <c r="I37" s="12"/>
    </row>
    <row r="38" ht="16.5" spans="1:9">
      <c r="A38" s="10" t="s">
        <v>45</v>
      </c>
      <c r="B38" s="13">
        <v>18778477.81</v>
      </c>
      <c r="C38" s="12">
        <v>0</v>
      </c>
      <c r="D38" s="12">
        <v>8553998.74</v>
      </c>
      <c r="E38" s="13">
        <v>0</v>
      </c>
      <c r="F38" s="12">
        <f t="shared" si="0"/>
        <v>8553998.74</v>
      </c>
      <c r="G38" s="14">
        <v>10225000</v>
      </c>
      <c r="H38" s="14">
        <f t="shared" si="1"/>
        <v>-520.930000001565</v>
      </c>
      <c r="I38" s="12"/>
    </row>
    <row r="39" ht="16.5" spans="1:9">
      <c r="A39" s="10" t="s">
        <v>46</v>
      </c>
      <c r="B39" s="13">
        <v>7150000</v>
      </c>
      <c r="C39" s="12">
        <v>7150000</v>
      </c>
      <c r="D39" s="12">
        <v>0</v>
      </c>
      <c r="E39" s="13">
        <v>0</v>
      </c>
      <c r="F39" s="12">
        <f t="shared" si="0"/>
        <v>7150000</v>
      </c>
      <c r="G39" s="14"/>
      <c r="H39" s="14">
        <f t="shared" si="1"/>
        <v>0</v>
      </c>
      <c r="I39" s="12"/>
    </row>
    <row r="40" ht="16.5" spans="1:9">
      <c r="A40" s="15" t="s">
        <v>47</v>
      </c>
      <c r="B40" s="16">
        <v>5200000</v>
      </c>
      <c r="C40" s="17">
        <v>1200000</v>
      </c>
      <c r="D40" s="17">
        <v>1200000</v>
      </c>
      <c r="E40" s="16">
        <v>0</v>
      </c>
      <c r="F40" s="12">
        <f t="shared" si="0"/>
        <v>2400000</v>
      </c>
      <c r="G40" s="18">
        <v>2800000</v>
      </c>
      <c r="H40" s="14">
        <f t="shared" si="1"/>
        <v>0</v>
      </c>
      <c r="I40" s="12"/>
    </row>
    <row r="41" ht="16.5" spans="1:9">
      <c r="A41" s="10" t="s">
        <v>48</v>
      </c>
      <c r="B41" s="13">
        <v>7565851.25</v>
      </c>
      <c r="C41" s="12">
        <v>0</v>
      </c>
      <c r="D41" s="12">
        <v>1104931.25</v>
      </c>
      <c r="E41" s="13">
        <v>0</v>
      </c>
      <c r="F41" s="12">
        <f t="shared" si="0"/>
        <v>1104931.25</v>
      </c>
      <c r="G41" s="14">
        <v>6460000</v>
      </c>
      <c r="H41" s="14">
        <f t="shared" si="1"/>
        <v>920</v>
      </c>
      <c r="I41" s="12"/>
    </row>
    <row r="42" ht="16.5" spans="1:9">
      <c r="A42" s="10" t="s">
        <v>49</v>
      </c>
      <c r="B42" s="13">
        <v>1964600</v>
      </c>
      <c r="C42" s="12">
        <v>1964600</v>
      </c>
      <c r="D42" s="12">
        <v>0</v>
      </c>
      <c r="E42" s="13">
        <v>0</v>
      </c>
      <c r="F42" s="12">
        <f t="shared" si="0"/>
        <v>1964600</v>
      </c>
      <c r="G42" s="14"/>
      <c r="H42" s="14">
        <f t="shared" si="1"/>
        <v>0</v>
      </c>
      <c r="I42" s="12"/>
    </row>
    <row r="43" ht="16.5" spans="1:9">
      <c r="A43" s="10" t="s">
        <v>50</v>
      </c>
      <c r="B43" s="13">
        <v>4846673.8</v>
      </c>
      <c r="C43" s="12">
        <v>0</v>
      </c>
      <c r="D43" s="12">
        <v>640000</v>
      </c>
      <c r="E43" s="13">
        <v>0</v>
      </c>
      <c r="F43" s="12">
        <f t="shared" si="0"/>
        <v>640000</v>
      </c>
      <c r="G43" s="14">
        <v>4207000</v>
      </c>
      <c r="H43" s="14">
        <f t="shared" si="1"/>
        <v>-326.200000000186</v>
      </c>
      <c r="I43" s="12"/>
    </row>
    <row r="44" ht="16.5" spans="1:9">
      <c r="A44" s="10" t="s">
        <v>51</v>
      </c>
      <c r="B44" s="13">
        <v>23349607.14</v>
      </c>
      <c r="C44" s="12">
        <v>2000000</v>
      </c>
      <c r="D44" s="12">
        <v>14493127.05</v>
      </c>
      <c r="E44" s="13">
        <v>0</v>
      </c>
      <c r="F44" s="12">
        <f t="shared" si="0"/>
        <v>16493127.05</v>
      </c>
      <c r="G44" s="14">
        <v>6855000</v>
      </c>
      <c r="H44" s="14">
        <f t="shared" si="1"/>
        <v>1480.08999999985</v>
      </c>
      <c r="I44" s="12"/>
    </row>
    <row r="45" ht="16.5" spans="1:9">
      <c r="A45" s="15" t="s">
        <v>52</v>
      </c>
      <c r="B45" s="16">
        <v>3351000</v>
      </c>
      <c r="C45" s="17">
        <v>616000</v>
      </c>
      <c r="D45" s="17">
        <v>0</v>
      </c>
      <c r="E45" s="16">
        <v>0</v>
      </c>
      <c r="F45" s="12">
        <f t="shared" si="0"/>
        <v>616000</v>
      </c>
      <c r="G45" s="18">
        <v>2735000</v>
      </c>
      <c r="H45" s="14">
        <f t="shared" si="1"/>
        <v>0</v>
      </c>
      <c r="I45" s="12"/>
    </row>
    <row r="46" ht="16.5" spans="1:9">
      <c r="A46" s="10"/>
      <c r="B46" s="13"/>
      <c r="C46" s="12"/>
      <c r="D46" s="12"/>
      <c r="E46" s="12"/>
      <c r="F46" s="12">
        <f t="shared" si="0"/>
        <v>0</v>
      </c>
      <c r="G46" s="14"/>
      <c r="H46" s="14">
        <f t="shared" si="1"/>
        <v>0</v>
      </c>
      <c r="I46" s="12"/>
    </row>
    <row r="47" ht="16.5" spans="1:9">
      <c r="A47" s="20" t="s">
        <v>53</v>
      </c>
      <c r="B47" s="21">
        <f t="shared" ref="B47:H47" si="2">+SUM(B4:B46)</f>
        <v>976491368.27</v>
      </c>
      <c r="C47" s="21">
        <f t="shared" si="2"/>
        <v>36184472.41</v>
      </c>
      <c r="D47" s="21">
        <f t="shared" si="2"/>
        <v>421545374.05</v>
      </c>
      <c r="E47" s="21">
        <f t="shared" si="2"/>
        <v>6459535.56</v>
      </c>
      <c r="F47" s="21">
        <f t="shared" si="2"/>
        <v>463704836.58</v>
      </c>
      <c r="G47" s="21">
        <f t="shared" si="2"/>
        <v>515562000</v>
      </c>
      <c r="H47" s="22">
        <f t="shared" si="2"/>
        <v>-2775468.31</v>
      </c>
      <c r="I47" s="20"/>
    </row>
    <row r="48" ht="16.5" spans="1:9">
      <c r="A48" s="23"/>
      <c r="B48" s="23"/>
      <c r="C48" s="23"/>
      <c r="D48" s="23"/>
      <c r="E48" s="23"/>
      <c r="F48" s="23"/>
      <c r="G48" s="24"/>
      <c r="H48" s="23"/>
      <c r="I48" s="23"/>
    </row>
    <row r="49" ht="16.5" spans="1:9">
      <c r="A49" s="23" t="s">
        <v>54</v>
      </c>
      <c r="B49" s="23"/>
      <c r="C49" s="23"/>
      <c r="D49" s="23"/>
      <c r="E49" s="23"/>
      <c r="F49" s="23"/>
      <c r="G49" s="24">
        <v>24201000</v>
      </c>
      <c r="H49" s="23"/>
      <c r="I49" s="23"/>
    </row>
    <row r="50" ht="16.5" spans="1:9">
      <c r="A50" s="23" t="s">
        <v>55</v>
      </c>
      <c r="B50" s="23"/>
      <c r="C50" s="23"/>
      <c r="D50" s="23"/>
      <c r="E50" s="23"/>
      <c r="F50" s="23"/>
      <c r="G50" s="24">
        <v>17477000</v>
      </c>
      <c r="H50" s="23"/>
      <c r="I50" s="23"/>
    </row>
    <row r="51" ht="16.5" spans="1:9">
      <c r="A51" s="23" t="s">
        <v>56</v>
      </c>
      <c r="B51" s="23"/>
      <c r="C51" s="23"/>
      <c r="D51" s="23"/>
      <c r="E51" s="23"/>
      <c r="F51" s="23"/>
      <c r="G51" s="24">
        <v>2833000</v>
      </c>
      <c r="H51" s="23"/>
      <c r="I51" s="23"/>
    </row>
    <row r="52" ht="16.5" spans="1:9">
      <c r="A52" s="23" t="s">
        <v>57</v>
      </c>
      <c r="B52" s="23"/>
      <c r="C52" s="23"/>
      <c r="D52" s="23"/>
      <c r="E52" s="23"/>
      <c r="F52" s="23"/>
      <c r="G52" s="24">
        <v>2107000</v>
      </c>
      <c r="H52" s="23"/>
      <c r="I52" s="23"/>
    </row>
    <row r="53" ht="16.5" spans="1:9">
      <c r="A53" s="23" t="s">
        <v>58</v>
      </c>
      <c r="B53" s="23"/>
      <c r="C53" s="23"/>
      <c r="D53" s="23"/>
      <c r="E53" s="23"/>
      <c r="F53" s="23"/>
      <c r="G53" s="24">
        <v>20855799</v>
      </c>
      <c r="H53" s="23"/>
      <c r="I53" s="23"/>
    </row>
    <row r="54" ht="16.5" spans="1:9">
      <c r="A54" s="23" t="s">
        <v>59</v>
      </c>
      <c r="B54" s="23"/>
      <c r="C54" s="23"/>
      <c r="D54" s="23"/>
      <c r="E54" s="23"/>
      <c r="F54" s="23"/>
      <c r="G54" s="24">
        <v>4051952</v>
      </c>
      <c r="H54" s="23"/>
      <c r="I54" s="23"/>
    </row>
    <row r="55" ht="16.5" hidden="1" spans="1:9">
      <c r="A55" s="23" t="s">
        <v>60</v>
      </c>
      <c r="B55" s="23"/>
      <c r="C55" s="23"/>
      <c r="D55" s="23"/>
      <c r="E55" s="23"/>
      <c r="F55" s="23"/>
      <c r="G55" s="24"/>
      <c r="H55" s="23"/>
      <c r="I55" s="23"/>
    </row>
    <row r="56" ht="16.5" spans="1:9">
      <c r="A56" s="23" t="s">
        <v>61</v>
      </c>
      <c r="B56" s="23"/>
      <c r="C56" s="23"/>
      <c r="D56" s="23"/>
      <c r="E56" s="23"/>
      <c r="F56" s="23"/>
      <c r="G56" s="24">
        <v>250000000</v>
      </c>
      <c r="H56" s="23"/>
      <c r="I56" s="23"/>
    </row>
    <row r="57" ht="16.5" spans="1:9">
      <c r="A57" s="23"/>
      <c r="B57" s="23"/>
      <c r="C57" s="23"/>
      <c r="D57" s="23"/>
      <c r="E57" s="23"/>
      <c r="F57" s="23"/>
      <c r="G57" s="24"/>
      <c r="H57" s="23"/>
      <c r="I57" s="23"/>
    </row>
    <row r="58" ht="16.5" spans="1:9">
      <c r="A58" s="25" t="s">
        <v>62</v>
      </c>
      <c r="B58" s="25"/>
      <c r="C58" s="25"/>
      <c r="D58" s="25"/>
      <c r="E58" s="25"/>
      <c r="F58" s="25"/>
      <c r="G58" s="26">
        <f>+SUM(G47:G57)</f>
        <v>837087751</v>
      </c>
      <c r="H58" s="25"/>
      <c r="I58" s="25"/>
    </row>
  </sheetData>
  <mergeCells count="1">
    <mergeCell ref="A1:I1"/>
  </mergeCells>
  <pageMargins left="0.7" right="0.7" top="0.75" bottom="0.75" header="0.3" footer="0.3"/>
  <pageSetup paperSize="9" scale="6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Võ Như Minh Quang</cp:lastModifiedBy>
  <dcterms:created xsi:type="dcterms:W3CDTF">2026-05-12T03:35:00Z</dcterms:created>
  <dcterms:modified xsi:type="dcterms:W3CDTF">2026-05-13T11:09:51Z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CF6720608E154B9BB85D7D180B389312_12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