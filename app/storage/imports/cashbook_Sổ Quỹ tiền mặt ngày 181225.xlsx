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8-12\"/>
    </mc:Choice>
  </mc:AlternateContent>
  <xr:revisionPtr revIDLastSave="0" documentId="8_{6A06B996-51F0-4553-853C-BE2AFC817F62}" xr6:coauthVersionLast="47" xr6:coauthVersionMax="47" xr10:uidLastSave="{00000000-0000-0000-0000-000000000000}"/>
  <bookViews>
    <workbookView xWindow="-120" yWindow="-120" windowWidth="29040" windowHeight="15840" xr2:uid="{74EBA8F7-4EB7-4802-AE59-0DD369FF1534}"/>
  </bookViews>
  <sheets>
    <sheet name="18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G61" i="1"/>
  <c r="G55" i="1"/>
  <c r="G66" i="1" s="1"/>
  <c r="E55" i="1"/>
  <c r="D55" i="1"/>
  <c r="C55" i="1"/>
  <c r="B55" i="1"/>
  <c r="H54" i="1"/>
  <c r="F54" i="1"/>
  <c r="F53" i="1"/>
  <c r="H53" i="1" s="1"/>
  <c r="H52" i="1"/>
  <c r="F52" i="1"/>
  <c r="H51" i="1"/>
  <c r="F51" i="1"/>
  <c r="F50" i="1"/>
  <c r="H50" i="1" s="1"/>
  <c r="H49" i="1"/>
  <c r="F49" i="1"/>
  <c r="H48" i="1"/>
  <c r="F48" i="1"/>
  <c r="F47" i="1"/>
  <c r="H47" i="1" s="1"/>
  <c r="H46" i="1"/>
  <c r="F46" i="1"/>
  <c r="H45" i="1"/>
  <c r="F45" i="1"/>
  <c r="F44" i="1"/>
  <c r="H44" i="1" s="1"/>
  <c r="H43" i="1"/>
  <c r="F43" i="1"/>
  <c r="H42" i="1"/>
  <c r="F42" i="1"/>
  <c r="F41" i="1"/>
  <c r="H41" i="1" s="1"/>
  <c r="H40" i="1"/>
  <c r="F40" i="1"/>
  <c r="H39" i="1"/>
  <c r="F39" i="1"/>
  <c r="F38" i="1"/>
  <c r="H38" i="1" s="1"/>
  <c r="H37" i="1"/>
  <c r="F37" i="1"/>
  <c r="H36" i="1"/>
  <c r="F36" i="1"/>
  <c r="F35" i="1"/>
  <c r="H35" i="1" s="1"/>
  <c r="H34" i="1"/>
  <c r="F34" i="1"/>
  <c r="H33" i="1"/>
  <c r="F33" i="1"/>
  <c r="F32" i="1"/>
  <c r="H32" i="1" s="1"/>
  <c r="H31" i="1"/>
  <c r="F31" i="1"/>
  <c r="H30" i="1"/>
  <c r="F30" i="1"/>
  <c r="F29" i="1"/>
  <c r="H29" i="1" s="1"/>
  <c r="H28" i="1"/>
  <c r="F28" i="1"/>
  <c r="H27" i="1"/>
  <c r="F27" i="1"/>
  <c r="F26" i="1"/>
  <c r="H26" i="1" s="1"/>
  <c r="H25" i="1"/>
  <c r="F25" i="1"/>
  <c r="H24" i="1"/>
  <c r="F24" i="1"/>
  <c r="F23" i="1"/>
  <c r="H23" i="1" s="1"/>
  <c r="H22" i="1"/>
  <c r="F22" i="1"/>
  <c r="H21" i="1"/>
  <c r="F21" i="1"/>
  <c r="F20" i="1"/>
  <c r="H20" i="1" s="1"/>
  <c r="H19" i="1"/>
  <c r="F19" i="1"/>
  <c r="H18" i="1"/>
  <c r="F18" i="1"/>
  <c r="F17" i="1"/>
  <c r="H17" i="1" s="1"/>
  <c r="H16" i="1"/>
  <c r="F16" i="1"/>
  <c r="H15" i="1"/>
  <c r="F15" i="1"/>
  <c r="F14" i="1"/>
  <c r="H14" i="1" s="1"/>
  <c r="H13" i="1"/>
  <c r="F13" i="1"/>
  <c r="H11" i="1"/>
  <c r="F11" i="1"/>
  <c r="F10" i="1"/>
  <c r="H10" i="1" s="1"/>
  <c r="H9" i="1"/>
  <c r="F9" i="1"/>
  <c r="H8" i="1"/>
  <c r="F8" i="1"/>
  <c r="F7" i="1"/>
  <c r="H7" i="1" s="1"/>
  <c r="H6" i="1"/>
  <c r="F6" i="1"/>
  <c r="H5" i="1"/>
  <c r="F5" i="1"/>
  <c r="F4" i="1"/>
  <c r="F55" i="1" s="1"/>
  <c r="H4" i="1" l="1"/>
  <c r="H55" i="1" s="1"/>
</calcChain>
</file>

<file path=xl/sharedStrings.xml><?xml version="1.0" encoding="utf-8"?>
<sst xmlns="http://schemas.openxmlformats.org/spreadsheetml/2006/main" count="74" uniqueCount="74">
  <si>
    <t>THEO DÕI THU TIỀN NGÀY 18/12/25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</si>
  <si>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</si>
  <si>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</si>
  <si>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</si>
  <si>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</si>
  <si>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</si>
  <si>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</si>
  <si>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</si>
  <si>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</si>
  <si>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</si>
  <si>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10226-BYAM</t>
  </si>
  <si>
    <t>10277-Nguyễn Thị Mai Phương</t>
  </si>
  <si>
    <t>10286-Phạm Thị Hải</t>
  </si>
  <si>
    <t>10309-Phạm Thị Hằng</t>
  </si>
  <si>
    <t>123-Lê Thị Thu Hường</t>
  </si>
  <si>
    <t>148-Trương Thị Hồng Yến</t>
  </si>
  <si>
    <t>158-Bùi Thị Thu Phương</t>
  </si>
  <si>
    <t>Sửa HSBA Đinh Thị Văn, chênh lệch tăng 16.000 - chưa nộp tiền</t>
  </si>
  <si>
    <t>Sửa HSBA H'AYUK, chênh lệch tăng 39.000 - đã nộp tiền</t>
  </si>
  <si>
    <t>165-Nguyễn Thị Linh Phương</t>
  </si>
  <si>
    <t>167-Nguyễn Thị Kim Tuyền</t>
  </si>
  <si>
    <t>169-Đoàn Thị Ánh Nguyệt</t>
  </si>
  <si>
    <t>175-Phạm Thị Cẩm Tiên</t>
  </si>
  <si>
    <t>178-Phan Thị Bảo Hà</t>
  </si>
  <si>
    <t>181-Võ Thị Thanh Diễm</t>
  </si>
  <si>
    <t>219-Lê Thị Thu Hà</t>
  </si>
  <si>
    <t>233-Đặng Thị Huyền</t>
  </si>
  <si>
    <t>252-Nguyễn Thị Thùy Trang</t>
  </si>
  <si>
    <t>BN Nguyễn Ngọc Minh Khuê BLVP ra viện tạm ứng dư, kế toán đã chi hoàn</t>
  </si>
  <si>
    <t>25-Nguyễn Hoàng Lâm</t>
  </si>
  <si>
    <t>292-Trần Thị Phương Thảo</t>
  </si>
  <si>
    <t>297-Lê Thị Hồng Hạnh</t>
  </si>
  <si>
    <t>303-Huỳnh Thị Hạnh</t>
  </si>
  <si>
    <t>305-Trần Ngọc Trung</t>
  </si>
  <si>
    <t>354-Lê Thị Hồng Thúy</t>
  </si>
  <si>
    <t>372-Lê Như Ngọc</t>
  </si>
  <si>
    <t>374-Trương Thị Quỳnh Anh</t>
  </si>
  <si>
    <t>466-Phan Thị Hoàng Uyên</t>
  </si>
  <si>
    <t>482-Phạm Thị Thu Hương</t>
  </si>
  <si>
    <t>483-Nguyễn Thị Thu Trinh</t>
  </si>
  <si>
    <t>Điều dưỡng nộp ngày 19/12</t>
  </si>
  <si>
    <t>505-Lê Thị Hồng Duyên</t>
  </si>
  <si>
    <t>51-Nguyễn Thị Thảo</t>
  </si>
  <si>
    <t>56-Đinh Thị Thùy Giang</t>
  </si>
  <si>
    <t>636-Nguyễn Thị Quệ</t>
  </si>
  <si>
    <t>638-Nguyễn Thị Ánh Nguyệt</t>
  </si>
  <si>
    <t>641-Nguyễn Hải Anh</t>
  </si>
  <si>
    <t>648-Lê Thị Chinh</t>
  </si>
  <si>
    <t>696-Nguyễn Thị Kim Thơ</t>
  </si>
  <si>
    <t>700-Ksor H' Lợi</t>
  </si>
  <si>
    <t>702-Huỳnh Thị Tường Vy</t>
  </si>
  <si>
    <t>707-Hoàng Thị Thanh Huyền</t>
  </si>
  <si>
    <t>710-Hà Thúy Viên</t>
  </si>
  <si>
    <t>74-Đoàn Thị Hiếu</t>
  </si>
  <si>
    <t>759-Đoàn Thị Thu Uyên</t>
  </si>
  <si>
    <t>782-Nông Thị Thảo</t>
  </si>
  <si>
    <t>81-Nguyễn Vũ Thị Hòa</t>
  </si>
  <si>
    <t>82-Lê Thị Minh Phượng</t>
  </si>
  <si>
    <t>95-Đặng Ngọc Diễm Thy</t>
  </si>
  <si>
    <t>97-Diệp Thị Thùy Trang</t>
  </si>
  <si>
    <t>Trần Bích Tiền</t>
  </si>
  <si>
    <t>A220 ngày 17/12</t>
  </si>
  <si>
    <t>Vũ Thị Bông</t>
  </si>
  <si>
    <t>A121 ngày 17/12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</si>
  <si>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</si>
  <si>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</si>
  <si>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</si>
  <si>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</si>
  <si>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</si>
  <si>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</si>
  <si>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</si>
  <si>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</si>
  <si>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</si>
  <si>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18/12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</si>
</sst>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5" fontId="5" fillId="0" borderId="3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vertical="center" wrapText="1"/>
    </xf>
    <xf numFmtId="165" fontId="5" fillId="0" borderId="2" xfId="1" applyNumberFormat="1" applyFont="1" applyFill="1" applyBorder="1" applyAlignment="1">
      <alignment vertical="center" wrapText="1"/>
    </xf>
    <xf numFmtId="166" fontId="5" fillId="0" borderId="3" xfId="1" applyNumberFormat="1" applyFont="1" applyFill="1" applyBorder="1" applyAlignment="1">
      <alignment horizontal="center" vertical="center" wrapText="1"/>
    </xf>
    <xf numFmtId="166" fontId="5" fillId="0" borderId="3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3C4C-4CCE-4977-B1E2-0B5C514970EE}">
  <sheetPr>
    <pageSetUpPr fitToPage="1"/>
  </sheetPr>
  <dimension ref="A1:I66"/>
  <sheetViews>
    <sheetView tabSelected="1" workbookViewId="0">
      <selection activeCell="K1" sqref="K1"/>
    </sheetView>
  </sheetViews>
  <sheetFormatPr defaultRowHeight="15.75" x14ac:dyDescent="0.25"/>
  <cols>
    <col min="1" max="1" width="28.25" style="1" customWidth="1"/>
    <col min="2" max="2" width="15" style="1" customWidth="1"/>
    <col min="3" max="5" width="15" style="1" hidden="1" customWidth="1"/>
    <col min="6" max="8" width="15" style="1" customWidth="1"/>
    <col min="9" max="9" width="36.375" style="1" customWidth="1"/>
    <col min="10" max="16384" width="9" style="1"/>
  </cols>
  <sheetData>
    <row r="1" spans="1:9" ht="21.7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</row>
    <row r="2" spans="1:9" x14ac:dyDescent="0.25">
      <c r="A2" s="2"/>
      <c r="B2" s="3"/>
      <c r="C2" s="4"/>
      <c r="D2" s="4"/>
      <c r="E2" s="4"/>
      <c r="F2" s="4"/>
      <c r="G2" s="4"/>
      <c r="H2" s="4"/>
      <c r="I2" s="5"/>
    </row>
    <row r="3" spans="1:9" ht="49.5" x14ac:dyDescent="0.25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8"/>
    </row>
    <row r="4" spans="1:9" ht="16.5" x14ac:dyDescent="0.25">
      <c r="A4" s="10" t="s">
        <v>9</v>
      </c>
      <c r="B4" s="11">
        <v>21391005.780000001</v>
      </c>
      <c r="C4" s="12">
        <v>0</v>
      </c>
      <c r="D4" s="12">
        <v>8226060.0199999996</v>
      </c>
      <c r="E4" s="13">
        <v>0</v>
      </c>
      <c r="F4" s="12">
        <f>+C4+D4+E4</f>
        <v>8226060.0199999996</v>
      </c>
      <c r="G4" s="14">
        <v>13165000</v>
      </c>
      <c r="H4" s="14">
        <f>+B4-F4-G4</f>
        <v>-54.239999998360872</v>
      </c>
      <c r="I4" s="15"/>
    </row>
    <row r="5" spans="1:9" ht="16.5" x14ac:dyDescent="0.25">
      <c r="A5" s="10" t="s">
        <v>10</v>
      </c>
      <c r="B5" s="13">
        <v>7000000</v>
      </c>
      <c r="C5" s="12">
        <v>0</v>
      </c>
      <c r="D5" s="12">
        <v>7000000</v>
      </c>
      <c r="E5" s="13">
        <v>0</v>
      </c>
      <c r="F5" s="12">
        <f t="shared" ref="F5:F54" si="0">+C5+D5+E5</f>
        <v>7000000</v>
      </c>
      <c r="G5" s="14"/>
      <c r="H5" s="14">
        <f t="shared" ref="H5:H54" si="1">+B5-F5-G5</f>
        <v>0</v>
      </c>
      <c r="I5" s="15"/>
    </row>
    <row r="6" spans="1:9" ht="16.5" x14ac:dyDescent="0.25">
      <c r="A6" s="10" t="s">
        <v>11</v>
      </c>
      <c r="B6" s="13">
        <v>51787027.770000003</v>
      </c>
      <c r="C6" s="12">
        <v>5764000</v>
      </c>
      <c r="D6" s="12">
        <v>16690131.199999999</v>
      </c>
      <c r="E6" s="13">
        <v>0</v>
      </c>
      <c r="F6" s="12">
        <f t="shared" si="0"/>
        <v>22454131.199999999</v>
      </c>
      <c r="G6" s="14">
        <v>29333000</v>
      </c>
      <c r="H6" s="14">
        <f t="shared" si="1"/>
        <v>-103.42999999597669</v>
      </c>
      <c r="I6" s="12"/>
    </row>
    <row r="7" spans="1:9" ht="16.5" x14ac:dyDescent="0.25">
      <c r="A7" s="16" t="s">
        <v>12</v>
      </c>
      <c r="B7" s="17">
        <v>9942912.9800000004</v>
      </c>
      <c r="C7" s="18">
        <v>0</v>
      </c>
      <c r="D7" s="18">
        <v>2567515.1800000002</v>
      </c>
      <c r="E7" s="17">
        <v>0</v>
      </c>
      <c r="F7" s="12">
        <f t="shared" si="0"/>
        <v>2567515.1800000002</v>
      </c>
      <c r="G7" s="19">
        <v>7375000</v>
      </c>
      <c r="H7" s="14">
        <f t="shared" si="1"/>
        <v>397.80000000074506</v>
      </c>
      <c r="I7" s="12"/>
    </row>
    <row r="8" spans="1:9" ht="16.5" x14ac:dyDescent="0.25">
      <c r="A8" s="10" t="s">
        <v>13</v>
      </c>
      <c r="B8" s="13">
        <v>9898000</v>
      </c>
      <c r="C8" s="12">
        <v>0</v>
      </c>
      <c r="D8" s="12">
        <v>2051000</v>
      </c>
      <c r="E8" s="13">
        <v>0</v>
      </c>
      <c r="F8" s="12">
        <f t="shared" si="0"/>
        <v>2051000</v>
      </c>
      <c r="G8" s="14">
        <v>7847000</v>
      </c>
      <c r="H8" s="14">
        <f t="shared" si="1"/>
        <v>0</v>
      </c>
      <c r="I8" s="12"/>
    </row>
    <row r="9" spans="1:9" ht="16.5" x14ac:dyDescent="0.25">
      <c r="A9" s="10" t="s">
        <v>14</v>
      </c>
      <c r="B9" s="13">
        <v>8553107.3000000007</v>
      </c>
      <c r="C9" s="12">
        <v>950743.6</v>
      </c>
      <c r="D9" s="12">
        <v>2019748.07</v>
      </c>
      <c r="E9" s="13">
        <v>0</v>
      </c>
      <c r="F9" s="12">
        <f t="shared" si="0"/>
        <v>2970491.67</v>
      </c>
      <c r="G9" s="14">
        <v>5582000</v>
      </c>
      <c r="H9" s="14">
        <f t="shared" si="1"/>
        <v>615.63000000081956</v>
      </c>
      <c r="I9" s="15"/>
    </row>
    <row r="10" spans="1:9" ht="16.5" x14ac:dyDescent="0.25">
      <c r="A10" s="10" t="s">
        <v>15</v>
      </c>
      <c r="B10" s="13">
        <v>300000</v>
      </c>
      <c r="C10" s="12">
        <v>0</v>
      </c>
      <c r="D10" s="12">
        <v>300000</v>
      </c>
      <c r="E10" s="13">
        <v>0</v>
      </c>
      <c r="F10" s="12">
        <f t="shared" si="0"/>
        <v>300000</v>
      </c>
      <c r="G10" s="14"/>
      <c r="H10" s="14">
        <f t="shared" si="1"/>
        <v>0</v>
      </c>
      <c r="I10" s="12"/>
    </row>
    <row r="11" spans="1:9" ht="33" x14ac:dyDescent="0.25">
      <c r="A11" s="20" t="s">
        <v>16</v>
      </c>
      <c r="B11" s="21">
        <v>55000</v>
      </c>
      <c r="C11" s="12">
        <v>0</v>
      </c>
      <c r="D11" s="12">
        <v>0</v>
      </c>
      <c r="E11" s="13">
        <v>0</v>
      </c>
      <c r="F11" s="22">
        <f t="shared" si="0"/>
        <v>0</v>
      </c>
      <c r="G11" s="23">
        <v>39000</v>
      </c>
      <c r="H11" s="23">
        <f t="shared" si="1"/>
        <v>16000</v>
      </c>
      <c r="I11" s="12" t="s">
        <v>17</v>
      </c>
    </row>
    <row r="12" spans="1:9" ht="33" x14ac:dyDescent="0.25">
      <c r="A12" s="24"/>
      <c r="B12" s="25"/>
      <c r="C12" s="26"/>
      <c r="D12" s="26"/>
      <c r="E12" s="27"/>
      <c r="F12" s="28"/>
      <c r="G12" s="29"/>
      <c r="H12" s="29"/>
      <c r="I12" s="12" t="s">
        <v>18</v>
      </c>
    </row>
    <row r="13" spans="1:9" ht="16.5" x14ac:dyDescent="0.25">
      <c r="A13" s="16" t="s">
        <v>19</v>
      </c>
      <c r="B13" s="17">
        <v>3000000</v>
      </c>
      <c r="C13" s="18">
        <v>0</v>
      </c>
      <c r="D13" s="18">
        <v>3000000</v>
      </c>
      <c r="E13" s="17">
        <v>0</v>
      </c>
      <c r="F13" s="12">
        <f t="shared" si="0"/>
        <v>3000000</v>
      </c>
      <c r="G13" s="19"/>
      <c r="H13" s="14">
        <f t="shared" si="1"/>
        <v>0</v>
      </c>
      <c r="I13" s="12"/>
    </row>
    <row r="14" spans="1:9" ht="16.5" x14ac:dyDescent="0.25">
      <c r="A14" s="10" t="s">
        <v>20</v>
      </c>
      <c r="B14" s="13">
        <v>2997530.23</v>
      </c>
      <c r="C14" s="12">
        <v>0</v>
      </c>
      <c r="D14" s="12">
        <v>2000000</v>
      </c>
      <c r="E14" s="13">
        <v>0</v>
      </c>
      <c r="F14" s="12">
        <f t="shared" si="0"/>
        <v>2000000</v>
      </c>
      <c r="G14" s="14">
        <v>997000</v>
      </c>
      <c r="H14" s="14">
        <f t="shared" si="1"/>
        <v>530.22999999998137</v>
      </c>
      <c r="I14" s="12"/>
    </row>
    <row r="15" spans="1:9" ht="16.5" x14ac:dyDescent="0.25">
      <c r="A15" s="10" t="s">
        <v>21</v>
      </c>
      <c r="B15" s="13">
        <v>16356285.210000001</v>
      </c>
      <c r="C15" s="12">
        <v>300000</v>
      </c>
      <c r="D15" s="12">
        <v>6027399.1299999999</v>
      </c>
      <c r="E15" s="13">
        <v>0</v>
      </c>
      <c r="F15" s="12">
        <f t="shared" si="0"/>
        <v>6327399.1299999999</v>
      </c>
      <c r="G15" s="14">
        <v>10029000</v>
      </c>
      <c r="H15" s="14">
        <f t="shared" si="1"/>
        <v>-113.91999999806285</v>
      </c>
      <c r="I15" s="15"/>
    </row>
    <row r="16" spans="1:9" ht="16.5" x14ac:dyDescent="0.25">
      <c r="A16" s="16" t="s">
        <v>22</v>
      </c>
      <c r="B16" s="17">
        <v>48646825.549999997</v>
      </c>
      <c r="C16" s="18">
        <v>0</v>
      </c>
      <c r="D16" s="18">
        <v>28003324.079999998</v>
      </c>
      <c r="E16" s="17">
        <v>0</v>
      </c>
      <c r="F16" s="12">
        <f t="shared" si="0"/>
        <v>28003324.079999998</v>
      </c>
      <c r="G16" s="19">
        <v>20643000</v>
      </c>
      <c r="H16" s="14">
        <f t="shared" si="1"/>
        <v>501.46999999880791</v>
      </c>
      <c r="I16" s="12"/>
    </row>
    <row r="17" spans="1:9" ht="16.5" x14ac:dyDescent="0.25">
      <c r="A17" s="10" t="s">
        <v>23</v>
      </c>
      <c r="B17" s="13">
        <v>9884213.5</v>
      </c>
      <c r="C17" s="12">
        <v>0</v>
      </c>
      <c r="D17" s="12">
        <v>3364541.9</v>
      </c>
      <c r="E17" s="13">
        <v>0</v>
      </c>
      <c r="F17" s="12">
        <f t="shared" si="0"/>
        <v>3364541.9</v>
      </c>
      <c r="G17" s="14">
        <v>6519000</v>
      </c>
      <c r="H17" s="14">
        <f t="shared" si="1"/>
        <v>671.59999999962747</v>
      </c>
      <c r="I17" s="12"/>
    </row>
    <row r="18" spans="1:9" ht="16.5" x14ac:dyDescent="0.25">
      <c r="A18" s="10" t="s">
        <v>24</v>
      </c>
      <c r="B18" s="13">
        <v>10000000</v>
      </c>
      <c r="C18" s="12">
        <v>0</v>
      </c>
      <c r="D18" s="12">
        <v>10000000</v>
      </c>
      <c r="E18" s="13">
        <v>0</v>
      </c>
      <c r="F18" s="12">
        <f t="shared" si="0"/>
        <v>10000000</v>
      </c>
      <c r="G18" s="14"/>
      <c r="H18" s="14">
        <f t="shared" si="1"/>
        <v>0</v>
      </c>
      <c r="I18" s="15"/>
    </row>
    <row r="19" spans="1:9" ht="16.5" x14ac:dyDescent="0.25">
      <c r="A19" s="10" t="s">
        <v>25</v>
      </c>
      <c r="B19" s="13">
        <v>6875297.0300000003</v>
      </c>
      <c r="C19" s="12">
        <v>0</v>
      </c>
      <c r="D19" s="12">
        <v>850000</v>
      </c>
      <c r="E19" s="13">
        <v>0</v>
      </c>
      <c r="F19" s="12">
        <f t="shared" si="0"/>
        <v>850000</v>
      </c>
      <c r="G19" s="14">
        <v>6025000</v>
      </c>
      <c r="H19" s="14">
        <f t="shared" si="1"/>
        <v>297.03000000026077</v>
      </c>
      <c r="I19" s="12"/>
    </row>
    <row r="20" spans="1:9" ht="16.5" x14ac:dyDescent="0.25">
      <c r="A20" s="10" t="s">
        <v>26</v>
      </c>
      <c r="B20" s="13">
        <v>40952428.579999998</v>
      </c>
      <c r="C20" s="12">
        <v>6479415.3300000001</v>
      </c>
      <c r="D20" s="12">
        <v>15000000</v>
      </c>
      <c r="E20" s="13">
        <v>0</v>
      </c>
      <c r="F20" s="12">
        <f t="shared" si="0"/>
        <v>21479415.329999998</v>
      </c>
      <c r="G20" s="14">
        <v>19473000</v>
      </c>
      <c r="H20" s="14">
        <f t="shared" si="1"/>
        <v>13.25</v>
      </c>
      <c r="I20" s="12"/>
    </row>
    <row r="21" spans="1:9" ht="33" x14ac:dyDescent="0.25">
      <c r="A21" s="16" t="s">
        <v>27</v>
      </c>
      <c r="B21" s="17">
        <v>2393377.58</v>
      </c>
      <c r="C21" s="18">
        <v>0</v>
      </c>
      <c r="D21" s="18">
        <v>2666787.59</v>
      </c>
      <c r="E21" s="17">
        <v>0</v>
      </c>
      <c r="F21" s="12">
        <f t="shared" si="0"/>
        <v>2666787.59</v>
      </c>
      <c r="G21" s="19"/>
      <c r="H21" s="14">
        <f t="shared" si="1"/>
        <v>-273410.00999999978</v>
      </c>
      <c r="I21" s="12" t="s">
        <v>28</v>
      </c>
    </row>
    <row r="22" spans="1:9" ht="16.5" hidden="1" x14ac:dyDescent="0.25">
      <c r="A22" s="10" t="s">
        <v>29</v>
      </c>
      <c r="B22" s="13">
        <v>0</v>
      </c>
      <c r="C22" s="12">
        <v>0</v>
      </c>
      <c r="D22" s="12">
        <v>0</v>
      </c>
      <c r="E22" s="13">
        <v>0</v>
      </c>
      <c r="F22" s="12">
        <f t="shared" si="0"/>
        <v>0</v>
      </c>
      <c r="G22" s="14"/>
      <c r="H22" s="14">
        <f t="shared" si="1"/>
        <v>0</v>
      </c>
      <c r="I22" s="12"/>
    </row>
    <row r="23" spans="1:9" ht="16.5" x14ac:dyDescent="0.25">
      <c r="A23" s="10" t="s">
        <v>30</v>
      </c>
      <c r="B23" s="13">
        <v>15111729.779999999</v>
      </c>
      <c r="C23" s="12">
        <v>0</v>
      </c>
      <c r="D23" s="12">
        <v>6744000</v>
      </c>
      <c r="E23" s="13">
        <v>0</v>
      </c>
      <c r="F23" s="12">
        <f t="shared" si="0"/>
        <v>6744000</v>
      </c>
      <c r="G23" s="14">
        <v>8367000</v>
      </c>
      <c r="H23" s="14">
        <f t="shared" si="1"/>
        <v>729.77999999932945</v>
      </c>
      <c r="I23" s="15"/>
    </row>
    <row r="24" spans="1:9" ht="16.5" x14ac:dyDescent="0.25">
      <c r="A24" s="10" t="s">
        <v>31</v>
      </c>
      <c r="B24" s="13">
        <v>12138542.43</v>
      </c>
      <c r="C24" s="12">
        <v>0</v>
      </c>
      <c r="D24" s="12">
        <v>1377871.91</v>
      </c>
      <c r="E24" s="13">
        <v>0</v>
      </c>
      <c r="F24" s="12">
        <f t="shared" si="0"/>
        <v>1377871.91</v>
      </c>
      <c r="G24" s="14">
        <v>10761000</v>
      </c>
      <c r="H24" s="14">
        <f t="shared" si="1"/>
        <v>-329.48000000044703</v>
      </c>
      <c r="I24" s="12"/>
    </row>
    <row r="25" spans="1:9" ht="16.5" x14ac:dyDescent="0.25">
      <c r="A25" s="10" t="s">
        <v>32</v>
      </c>
      <c r="B25" s="13">
        <v>15509116.34</v>
      </c>
      <c r="C25" s="12">
        <v>6500000</v>
      </c>
      <c r="D25" s="12">
        <v>5840534.2599999998</v>
      </c>
      <c r="E25" s="13">
        <v>0</v>
      </c>
      <c r="F25" s="12">
        <f t="shared" si="0"/>
        <v>12340534.26</v>
      </c>
      <c r="G25" s="14">
        <v>3168000</v>
      </c>
      <c r="H25" s="14">
        <f t="shared" si="1"/>
        <v>582.08000000007451</v>
      </c>
      <c r="I25" s="12"/>
    </row>
    <row r="26" spans="1:9" ht="16.5" hidden="1" x14ac:dyDescent="0.25">
      <c r="A26" s="16" t="s">
        <v>33</v>
      </c>
      <c r="B26" s="17">
        <v>0</v>
      </c>
      <c r="C26" s="18">
        <v>0</v>
      </c>
      <c r="D26" s="18">
        <v>0</v>
      </c>
      <c r="E26" s="17">
        <v>0</v>
      </c>
      <c r="F26" s="12">
        <f t="shared" si="0"/>
        <v>0</v>
      </c>
      <c r="G26" s="19"/>
      <c r="H26" s="14">
        <f t="shared" si="1"/>
        <v>0</v>
      </c>
      <c r="I26" s="12"/>
    </row>
    <row r="27" spans="1:9" ht="16.5" hidden="1" x14ac:dyDescent="0.25">
      <c r="A27" s="10" t="s">
        <v>34</v>
      </c>
      <c r="B27" s="13">
        <v>0</v>
      </c>
      <c r="C27" s="12">
        <v>0</v>
      </c>
      <c r="D27" s="12">
        <v>0</v>
      </c>
      <c r="E27" s="13">
        <v>0</v>
      </c>
      <c r="F27" s="12">
        <f t="shared" si="0"/>
        <v>0</v>
      </c>
      <c r="G27" s="14"/>
      <c r="H27" s="14">
        <f t="shared" si="1"/>
        <v>0</v>
      </c>
      <c r="I27" s="12"/>
    </row>
    <row r="28" spans="1:9" ht="16.5" x14ac:dyDescent="0.25">
      <c r="A28" s="10" t="s">
        <v>35</v>
      </c>
      <c r="B28" s="13">
        <v>21319350.140000001</v>
      </c>
      <c r="C28" s="12">
        <v>0</v>
      </c>
      <c r="D28" s="12">
        <v>15000000</v>
      </c>
      <c r="E28" s="13">
        <v>0</v>
      </c>
      <c r="F28" s="12">
        <f t="shared" si="0"/>
        <v>15000000</v>
      </c>
      <c r="G28" s="14">
        <v>6319000</v>
      </c>
      <c r="H28" s="14">
        <f t="shared" si="1"/>
        <v>350.14000000059605</v>
      </c>
      <c r="I28" s="15"/>
    </row>
    <row r="29" spans="1:9" ht="16.5" x14ac:dyDescent="0.25">
      <c r="A29" s="10" t="s">
        <v>36</v>
      </c>
      <c r="B29" s="13">
        <v>3000000</v>
      </c>
      <c r="C29" s="12">
        <v>0</v>
      </c>
      <c r="D29" s="12">
        <v>3000000</v>
      </c>
      <c r="E29" s="13">
        <v>0</v>
      </c>
      <c r="F29" s="12">
        <f t="shared" si="0"/>
        <v>3000000</v>
      </c>
      <c r="G29" s="14"/>
      <c r="H29" s="14">
        <f t="shared" si="1"/>
        <v>0</v>
      </c>
      <c r="I29" s="15"/>
    </row>
    <row r="30" spans="1:9" ht="16.5" x14ac:dyDescent="0.25">
      <c r="A30" s="10" t="s">
        <v>37</v>
      </c>
      <c r="B30" s="13">
        <v>4222000</v>
      </c>
      <c r="C30" s="12">
        <v>0</v>
      </c>
      <c r="D30" s="12">
        <v>561000</v>
      </c>
      <c r="E30" s="13">
        <v>0</v>
      </c>
      <c r="F30" s="12">
        <f t="shared" si="0"/>
        <v>561000</v>
      </c>
      <c r="G30" s="14">
        <v>3661000</v>
      </c>
      <c r="H30" s="14">
        <f t="shared" si="1"/>
        <v>0</v>
      </c>
      <c r="I30" s="15"/>
    </row>
    <row r="31" spans="1:9" ht="16.5" x14ac:dyDescent="0.25">
      <c r="A31" s="10" t="s">
        <v>38</v>
      </c>
      <c r="B31" s="13">
        <v>14689722.369999999</v>
      </c>
      <c r="C31" s="12">
        <v>0</v>
      </c>
      <c r="D31" s="12">
        <v>4541638.5999999996</v>
      </c>
      <c r="E31" s="13">
        <v>0</v>
      </c>
      <c r="F31" s="12">
        <f t="shared" si="0"/>
        <v>4541638.5999999996</v>
      </c>
      <c r="G31" s="14">
        <v>10148000</v>
      </c>
      <c r="H31" s="14">
        <f t="shared" si="1"/>
        <v>83.769999999552965</v>
      </c>
      <c r="I31" s="12"/>
    </row>
    <row r="32" spans="1:9" ht="16.5" x14ac:dyDescent="0.25">
      <c r="A32" s="10" t="s">
        <v>39</v>
      </c>
      <c r="B32" s="13">
        <v>5000000</v>
      </c>
      <c r="C32" s="12">
        <v>0</v>
      </c>
      <c r="D32" s="12">
        <v>0</v>
      </c>
      <c r="E32" s="13">
        <v>0</v>
      </c>
      <c r="F32" s="12">
        <f t="shared" si="0"/>
        <v>0</v>
      </c>
      <c r="G32" s="14"/>
      <c r="H32" s="14">
        <f t="shared" si="1"/>
        <v>5000000</v>
      </c>
      <c r="I32" s="15" t="s">
        <v>40</v>
      </c>
    </row>
    <row r="33" spans="1:9" ht="16.5" x14ac:dyDescent="0.25">
      <c r="A33" s="10" t="s">
        <v>41</v>
      </c>
      <c r="B33" s="13">
        <v>10106675.68</v>
      </c>
      <c r="C33" s="12">
        <v>0</v>
      </c>
      <c r="D33" s="12">
        <v>3898536.8</v>
      </c>
      <c r="E33" s="13">
        <v>0</v>
      </c>
      <c r="F33" s="12">
        <f t="shared" si="0"/>
        <v>3898536.8</v>
      </c>
      <c r="G33" s="14">
        <v>6208000</v>
      </c>
      <c r="H33" s="14">
        <f t="shared" si="1"/>
        <v>138.87999999988824</v>
      </c>
      <c r="I33" s="15"/>
    </row>
    <row r="34" spans="1:9" ht="16.5" x14ac:dyDescent="0.25">
      <c r="A34" s="10" t="s">
        <v>42</v>
      </c>
      <c r="B34" s="13">
        <v>60508116.189999998</v>
      </c>
      <c r="C34" s="12">
        <v>0</v>
      </c>
      <c r="D34" s="12">
        <v>14745140.029999999</v>
      </c>
      <c r="E34" s="13">
        <v>0</v>
      </c>
      <c r="F34" s="12">
        <f t="shared" si="0"/>
        <v>14745140.029999999</v>
      </c>
      <c r="G34" s="14">
        <v>45762000</v>
      </c>
      <c r="H34" s="14">
        <f t="shared" si="1"/>
        <v>976.15999999642372</v>
      </c>
      <c r="I34" s="15"/>
    </row>
    <row r="35" spans="1:9" ht="16.5" x14ac:dyDescent="0.25">
      <c r="A35" s="10" t="s">
        <v>43</v>
      </c>
      <c r="B35" s="13">
        <v>9367021.6300000008</v>
      </c>
      <c r="C35" s="12">
        <v>0</v>
      </c>
      <c r="D35" s="12">
        <v>7138920.8399999999</v>
      </c>
      <c r="E35" s="13">
        <v>0</v>
      </c>
      <c r="F35" s="12">
        <f t="shared" si="0"/>
        <v>7138920.8399999999</v>
      </c>
      <c r="G35" s="14">
        <v>2228000</v>
      </c>
      <c r="H35" s="14">
        <f t="shared" si="1"/>
        <v>100.79000000096858</v>
      </c>
      <c r="I35" s="12"/>
    </row>
    <row r="36" spans="1:9" ht="16.5" x14ac:dyDescent="0.25">
      <c r="A36" s="16" t="s">
        <v>44</v>
      </c>
      <c r="B36" s="17">
        <v>58800000</v>
      </c>
      <c r="C36" s="18">
        <v>58800000</v>
      </c>
      <c r="D36" s="18">
        <v>0</v>
      </c>
      <c r="E36" s="17">
        <v>0</v>
      </c>
      <c r="F36" s="12">
        <f t="shared" si="0"/>
        <v>58800000</v>
      </c>
      <c r="G36" s="19"/>
      <c r="H36" s="14">
        <f t="shared" si="1"/>
        <v>0</v>
      </c>
      <c r="I36" s="12"/>
    </row>
    <row r="37" spans="1:9" ht="16.5" x14ac:dyDescent="0.25">
      <c r="A37" s="10" t="s">
        <v>45</v>
      </c>
      <c r="B37" s="13">
        <v>14096739.73</v>
      </c>
      <c r="C37" s="12">
        <v>0</v>
      </c>
      <c r="D37" s="12">
        <v>2105167.4700000002</v>
      </c>
      <c r="E37" s="13">
        <v>0</v>
      </c>
      <c r="F37" s="12">
        <f t="shared" si="0"/>
        <v>2105167.4700000002</v>
      </c>
      <c r="G37" s="14">
        <v>11991000</v>
      </c>
      <c r="H37" s="14">
        <f t="shared" si="1"/>
        <v>572.25999999977648</v>
      </c>
      <c r="I37" s="12"/>
    </row>
    <row r="38" spans="1:9" ht="16.5" x14ac:dyDescent="0.25">
      <c r="A38" s="10" t="s">
        <v>46</v>
      </c>
      <c r="B38" s="13">
        <v>77644353.480000004</v>
      </c>
      <c r="C38" s="12">
        <v>10600000</v>
      </c>
      <c r="D38" s="12">
        <v>20302391.030000001</v>
      </c>
      <c r="E38" s="13">
        <v>1000000</v>
      </c>
      <c r="F38" s="12">
        <f t="shared" si="0"/>
        <v>31902391.030000001</v>
      </c>
      <c r="G38" s="14">
        <v>45742000</v>
      </c>
      <c r="H38" s="14">
        <f t="shared" si="1"/>
        <v>-37.549999997019768</v>
      </c>
      <c r="I38" s="15"/>
    </row>
    <row r="39" spans="1:9" ht="16.5" x14ac:dyDescent="0.25">
      <c r="A39" s="10" t="s">
        <v>47</v>
      </c>
      <c r="B39" s="13">
        <v>16838030</v>
      </c>
      <c r="C39" s="12">
        <v>0</v>
      </c>
      <c r="D39" s="12">
        <v>10910000</v>
      </c>
      <c r="E39" s="13">
        <v>146000</v>
      </c>
      <c r="F39" s="12">
        <f t="shared" si="0"/>
        <v>11056000</v>
      </c>
      <c r="G39" s="14">
        <v>5782000</v>
      </c>
      <c r="H39" s="14">
        <f t="shared" si="1"/>
        <v>30</v>
      </c>
      <c r="I39" s="12"/>
    </row>
    <row r="40" spans="1:9" ht="16.5" x14ac:dyDescent="0.25">
      <c r="A40" s="16" t="s">
        <v>48</v>
      </c>
      <c r="B40" s="17">
        <v>11427416.390000001</v>
      </c>
      <c r="C40" s="18">
        <v>0</v>
      </c>
      <c r="D40" s="18">
        <v>1498858.19</v>
      </c>
      <c r="E40" s="17">
        <v>0</v>
      </c>
      <c r="F40" s="12">
        <f t="shared" si="0"/>
        <v>1498858.19</v>
      </c>
      <c r="G40" s="19">
        <v>9928000</v>
      </c>
      <c r="H40" s="14">
        <f t="shared" si="1"/>
        <v>558.20000000111759</v>
      </c>
      <c r="I40" s="12"/>
    </row>
    <row r="41" spans="1:9" ht="16.5" x14ac:dyDescent="0.25">
      <c r="A41" s="10" t="s">
        <v>49</v>
      </c>
      <c r="B41" s="13">
        <v>84776126.079999998</v>
      </c>
      <c r="C41" s="12">
        <v>0</v>
      </c>
      <c r="D41" s="12">
        <v>23239373.329999998</v>
      </c>
      <c r="E41" s="13">
        <v>0</v>
      </c>
      <c r="F41" s="12">
        <f t="shared" si="0"/>
        <v>23239373.329999998</v>
      </c>
      <c r="G41" s="14">
        <v>61536000</v>
      </c>
      <c r="H41" s="14">
        <f t="shared" si="1"/>
        <v>752.75</v>
      </c>
      <c r="I41" s="12"/>
    </row>
    <row r="42" spans="1:9" ht="16.5" x14ac:dyDescent="0.25">
      <c r="A42" s="10" t="s">
        <v>50</v>
      </c>
      <c r="B42" s="13">
        <v>13735305.26</v>
      </c>
      <c r="C42" s="12">
        <v>0</v>
      </c>
      <c r="D42" s="12">
        <v>912584.2</v>
      </c>
      <c r="E42" s="13">
        <v>0</v>
      </c>
      <c r="F42" s="12">
        <f t="shared" si="0"/>
        <v>912584.2</v>
      </c>
      <c r="G42" s="14">
        <v>12823000</v>
      </c>
      <c r="H42" s="14">
        <f t="shared" si="1"/>
        <v>-278.93999999947846</v>
      </c>
      <c r="I42" s="15"/>
    </row>
    <row r="43" spans="1:9" ht="16.5" x14ac:dyDescent="0.25">
      <c r="A43" s="10" t="s">
        <v>51</v>
      </c>
      <c r="B43" s="13">
        <v>120000</v>
      </c>
      <c r="C43" s="12">
        <v>120000</v>
      </c>
      <c r="D43" s="12">
        <v>0</v>
      </c>
      <c r="E43" s="13">
        <v>0</v>
      </c>
      <c r="F43" s="12">
        <f t="shared" si="0"/>
        <v>120000</v>
      </c>
      <c r="G43" s="14"/>
      <c r="H43" s="14">
        <f t="shared" si="1"/>
        <v>0</v>
      </c>
      <c r="I43" s="12"/>
    </row>
    <row r="44" spans="1:9" ht="16.5" x14ac:dyDescent="0.25">
      <c r="A44" s="10" t="s">
        <v>52</v>
      </c>
      <c r="B44" s="13">
        <v>37941281.780000001</v>
      </c>
      <c r="C44" s="12">
        <v>1734217.6</v>
      </c>
      <c r="D44" s="12">
        <v>7999744.6699999999</v>
      </c>
      <c r="E44" s="13">
        <v>0</v>
      </c>
      <c r="F44" s="12">
        <f t="shared" si="0"/>
        <v>9733962.2699999996</v>
      </c>
      <c r="G44" s="14">
        <v>28207000</v>
      </c>
      <c r="H44" s="14">
        <f t="shared" si="1"/>
        <v>319.51000000163913</v>
      </c>
      <c r="I44" s="12"/>
    </row>
    <row r="45" spans="1:9" ht="16.5" x14ac:dyDescent="0.25">
      <c r="A45" s="16" t="s">
        <v>53</v>
      </c>
      <c r="B45" s="17">
        <v>6913687.1900000004</v>
      </c>
      <c r="C45" s="18">
        <v>0</v>
      </c>
      <c r="D45" s="18">
        <v>0</v>
      </c>
      <c r="E45" s="17">
        <v>0</v>
      </c>
      <c r="F45" s="12">
        <f t="shared" si="0"/>
        <v>0</v>
      </c>
      <c r="G45" s="19">
        <v>6914000</v>
      </c>
      <c r="H45" s="14">
        <f t="shared" si="1"/>
        <v>-312.80999999959022</v>
      </c>
      <c r="I45" s="12"/>
    </row>
    <row r="46" spans="1:9" ht="16.5" x14ac:dyDescent="0.25">
      <c r="A46" s="10" t="s">
        <v>54</v>
      </c>
      <c r="B46" s="13">
        <v>1052000</v>
      </c>
      <c r="C46" s="12">
        <v>0</v>
      </c>
      <c r="D46" s="12">
        <v>1052000</v>
      </c>
      <c r="E46" s="13">
        <v>0</v>
      </c>
      <c r="F46" s="12">
        <f t="shared" si="0"/>
        <v>1052000</v>
      </c>
      <c r="G46" s="14"/>
      <c r="H46" s="14">
        <f t="shared" si="1"/>
        <v>0</v>
      </c>
      <c r="I46" s="12"/>
    </row>
    <row r="47" spans="1:9" ht="16.5" x14ac:dyDescent="0.25">
      <c r="A47" s="10" t="s">
        <v>55</v>
      </c>
      <c r="B47" s="13">
        <v>100075881.98999999</v>
      </c>
      <c r="C47" s="12">
        <v>0</v>
      </c>
      <c r="D47" s="12">
        <v>32856972.390000001</v>
      </c>
      <c r="E47" s="13">
        <v>0</v>
      </c>
      <c r="F47" s="12">
        <f t="shared" si="0"/>
        <v>32856972.390000001</v>
      </c>
      <c r="G47" s="14">
        <v>67218000</v>
      </c>
      <c r="H47" s="14">
        <f t="shared" si="1"/>
        <v>909.59999999403954</v>
      </c>
      <c r="I47" s="12"/>
    </row>
    <row r="48" spans="1:9" ht="16.5" x14ac:dyDescent="0.25">
      <c r="A48" s="16" t="s">
        <v>56</v>
      </c>
      <c r="B48" s="17">
        <v>4473000</v>
      </c>
      <c r="C48" s="18">
        <v>1582000</v>
      </c>
      <c r="D48" s="18">
        <v>0</v>
      </c>
      <c r="E48" s="17">
        <v>0</v>
      </c>
      <c r="F48" s="12">
        <f t="shared" si="0"/>
        <v>1582000</v>
      </c>
      <c r="G48" s="19">
        <v>2891000</v>
      </c>
      <c r="H48" s="14">
        <f t="shared" si="1"/>
        <v>0</v>
      </c>
      <c r="I48" s="12"/>
    </row>
    <row r="49" spans="1:9" ht="16.5" x14ac:dyDescent="0.25">
      <c r="A49" s="10" t="s">
        <v>57</v>
      </c>
      <c r="B49" s="13">
        <v>5455694.2000000002</v>
      </c>
      <c r="C49" s="12">
        <v>0</v>
      </c>
      <c r="D49" s="12">
        <v>1460852.6</v>
      </c>
      <c r="E49" s="13">
        <v>0</v>
      </c>
      <c r="F49" s="12">
        <f t="shared" si="0"/>
        <v>1460852.6</v>
      </c>
      <c r="G49" s="14">
        <v>3995000</v>
      </c>
      <c r="H49" s="14">
        <f t="shared" si="1"/>
        <v>-158.39999999990687</v>
      </c>
      <c r="I49" s="12"/>
    </row>
    <row r="50" spans="1:9" ht="16.5" x14ac:dyDescent="0.25">
      <c r="A50" s="10" t="s">
        <v>58</v>
      </c>
      <c r="B50" s="13">
        <v>11965818.85</v>
      </c>
      <c r="C50" s="12">
        <v>0</v>
      </c>
      <c r="D50" s="12">
        <v>1210889.24</v>
      </c>
      <c r="E50" s="13">
        <v>0</v>
      </c>
      <c r="F50" s="12">
        <f t="shared" si="0"/>
        <v>1210889.24</v>
      </c>
      <c r="G50" s="30">
        <v>10755000</v>
      </c>
      <c r="H50" s="14">
        <f t="shared" si="1"/>
        <v>-70.390000000596046</v>
      </c>
      <c r="I50" s="15"/>
    </row>
    <row r="51" spans="1:9" ht="16.5" x14ac:dyDescent="0.25">
      <c r="A51" s="10" t="s">
        <v>59</v>
      </c>
      <c r="B51" s="13">
        <v>29501655.52</v>
      </c>
      <c r="C51" s="12">
        <v>9501655.5199999996</v>
      </c>
      <c r="D51" s="12">
        <v>20000000</v>
      </c>
      <c r="E51" s="13">
        <v>0</v>
      </c>
      <c r="F51" s="12">
        <f t="shared" si="0"/>
        <v>29501655.52</v>
      </c>
      <c r="G51" s="14"/>
      <c r="H51" s="14">
        <f t="shared" si="1"/>
        <v>0</v>
      </c>
      <c r="I51" s="12"/>
    </row>
    <row r="52" spans="1:9" ht="16.5" x14ac:dyDescent="0.25">
      <c r="A52" s="16" t="s">
        <v>60</v>
      </c>
      <c r="B52" s="17"/>
      <c r="C52" s="18"/>
      <c r="D52" s="18"/>
      <c r="E52" s="17"/>
      <c r="F52" s="12">
        <f t="shared" si="0"/>
        <v>0</v>
      </c>
      <c r="G52" s="19">
        <v>23654000</v>
      </c>
      <c r="H52" s="14">
        <f t="shared" si="1"/>
        <v>-23654000</v>
      </c>
      <c r="I52" s="12" t="s">
        <v>61</v>
      </c>
    </row>
    <row r="53" spans="1:9" ht="16.5" x14ac:dyDescent="0.25">
      <c r="A53" s="10" t="s">
        <v>62</v>
      </c>
      <c r="B53" s="13"/>
      <c r="C53" s="12"/>
      <c r="D53" s="12"/>
      <c r="E53" s="13"/>
      <c r="F53" s="12">
        <f t="shared" si="0"/>
        <v>0</v>
      </c>
      <c r="G53" s="14">
        <v>13461000</v>
      </c>
      <c r="H53" s="14">
        <f t="shared" si="1"/>
        <v>-13461000</v>
      </c>
      <c r="I53" s="12" t="s">
        <v>63</v>
      </c>
    </row>
    <row r="54" spans="1:9" ht="16.5" x14ac:dyDescent="0.25">
      <c r="A54" s="10"/>
      <c r="B54" s="13"/>
      <c r="C54" s="12"/>
      <c r="D54" s="12"/>
      <c r="E54" s="13"/>
      <c r="F54" s="12">
        <f t="shared" si="0"/>
        <v>0</v>
      </c>
      <c r="G54" s="14"/>
      <c r="H54" s="14">
        <f t="shared" si="1"/>
        <v>0</v>
      </c>
      <c r="I54" s="12"/>
    </row>
    <row r="55" spans="1:9" ht="16.5" x14ac:dyDescent="0.25">
      <c r="A55" s="31" t="s">
        <v>64</v>
      </c>
      <c r="B55" s="32">
        <f t="shared" ref="B55:H55" si="2">+SUM(B4:B54)</f>
        <v>895822276.54000008</v>
      </c>
      <c r="C55" s="32">
        <f t="shared" si="2"/>
        <v>102332032.05</v>
      </c>
      <c r="D55" s="32">
        <f t="shared" si="2"/>
        <v>296162982.73000008</v>
      </c>
      <c r="E55" s="32">
        <f t="shared" si="2"/>
        <v>1146000</v>
      </c>
      <c r="F55" s="32">
        <f t="shared" si="2"/>
        <v>399641014.77999997</v>
      </c>
      <c r="G55" s="32">
        <f t="shared" si="2"/>
        <v>528546000</v>
      </c>
      <c r="H55" s="33">
        <f t="shared" si="2"/>
        <v>-32364738.239999995</v>
      </c>
      <c r="I55" s="31"/>
    </row>
    <row r="56" spans="1:9" ht="16.5" x14ac:dyDescent="0.25">
      <c r="A56" s="34"/>
      <c r="B56" s="34"/>
      <c r="C56" s="34"/>
      <c r="D56" s="34"/>
      <c r="E56" s="34"/>
      <c r="F56" s="34"/>
      <c r="G56" s="35"/>
      <c r="H56" s="34"/>
      <c r="I56" s="34"/>
    </row>
    <row r="57" spans="1:9" ht="16.5" x14ac:dyDescent="0.25">
      <c r="A57" s="34" t="s">
        <v>65</v>
      </c>
      <c r="B57" s="34"/>
      <c r="C57" s="34"/>
      <c r="D57" s="34"/>
      <c r="E57" s="34"/>
      <c r="F57" s="34"/>
      <c r="G57" s="35">
        <v>27299000</v>
      </c>
      <c r="H57" s="34"/>
      <c r="I57" s="34"/>
    </row>
    <row r="58" spans="1:9" ht="16.5" x14ac:dyDescent="0.25">
      <c r="A58" s="34" t="s">
        <v>66</v>
      </c>
      <c r="B58" s="34"/>
      <c r="C58" s="34"/>
      <c r="D58" s="34"/>
      <c r="E58" s="34"/>
      <c r="F58" s="34"/>
      <c r="G58" s="35">
        <v>15336000</v>
      </c>
      <c r="H58" s="34"/>
      <c r="I58" s="34"/>
    </row>
    <row r="59" spans="1:9" ht="16.5" x14ac:dyDescent="0.25">
      <c r="A59" s="34" t="s">
        <v>67</v>
      </c>
      <c r="B59" s="34"/>
      <c r="C59" s="34"/>
      <c r="D59" s="34"/>
      <c r="E59" s="34"/>
      <c r="F59" s="34"/>
      <c r="G59" s="35">
        <v>3434000</v>
      </c>
      <c r="H59" s="34"/>
      <c r="I59" s="34"/>
    </row>
    <row r="60" spans="1:9" ht="16.5" x14ac:dyDescent="0.25">
      <c r="A60" s="34" t="s">
        <v>68</v>
      </c>
      <c r="B60" s="34"/>
      <c r="C60" s="34"/>
      <c r="D60" s="34"/>
      <c r="E60" s="34"/>
      <c r="F60" s="34"/>
      <c r="G60" s="35">
        <v>2154000</v>
      </c>
      <c r="H60" s="34"/>
      <c r="I60" s="34"/>
    </row>
    <row r="61" spans="1:9" ht="16.5" x14ac:dyDescent="0.25">
      <c r="A61" s="34" t="s">
        <v>69</v>
      </c>
      <c r="B61" s="34"/>
      <c r="C61" s="34"/>
      <c r="D61" s="34"/>
      <c r="E61" s="34"/>
      <c r="F61" s="34"/>
      <c r="G61" s="35">
        <f>2775999+14478900</f>
        <v>17254899</v>
      </c>
      <c r="H61" s="34"/>
      <c r="I61" s="34"/>
    </row>
    <row r="62" spans="1:9" ht="16.5" x14ac:dyDescent="0.25">
      <c r="A62" s="34" t="s">
        <v>70</v>
      </c>
      <c r="B62" s="34"/>
      <c r="C62" s="34"/>
      <c r="D62" s="34"/>
      <c r="E62" s="34"/>
      <c r="F62" s="34"/>
      <c r="G62" s="35">
        <f>6333996+11199764</f>
        <v>17533760</v>
      </c>
      <c r="H62" s="34"/>
      <c r="I62" s="34"/>
    </row>
    <row r="63" spans="1:9" ht="16.5" x14ac:dyDescent="0.25">
      <c r="A63" s="34" t="s">
        <v>71</v>
      </c>
      <c r="B63" s="34"/>
      <c r="C63" s="34"/>
      <c r="D63" s="34"/>
      <c r="E63" s="34"/>
      <c r="F63" s="34"/>
      <c r="G63" s="35">
        <v>100000</v>
      </c>
      <c r="H63" s="34"/>
      <c r="I63" s="34"/>
    </row>
    <row r="64" spans="1:9" ht="16.5" hidden="1" x14ac:dyDescent="0.25">
      <c r="A64" s="34" t="s">
        <v>72</v>
      </c>
      <c r="B64" s="34"/>
      <c r="C64" s="34"/>
      <c r="D64" s="34"/>
      <c r="E64" s="34"/>
      <c r="F64" s="34"/>
      <c r="G64" s="35"/>
      <c r="H64" s="34"/>
      <c r="I64" s="34"/>
    </row>
    <row r="65" spans="1:9" ht="16.5" x14ac:dyDescent="0.25">
      <c r="A65" s="34"/>
      <c r="B65" s="34"/>
      <c r="C65" s="34"/>
      <c r="D65" s="34"/>
      <c r="E65" s="34"/>
      <c r="F65" s="34"/>
      <c r="G65" s="35"/>
      <c r="H65" s="34"/>
      <c r="I65" s="34"/>
    </row>
    <row r="66" spans="1:9" ht="16.5" x14ac:dyDescent="0.25">
      <c r="A66" s="36" t="s">
        <v>73</v>
      </c>
      <c r="B66" s="36"/>
      <c r="C66" s="36"/>
      <c r="D66" s="36"/>
      <c r="E66" s="36"/>
      <c r="F66" s="36"/>
      <c r="G66" s="37">
        <f>+SUM(G55:G65)</f>
        <v>611657659</v>
      </c>
      <c r="H66" s="36"/>
      <c r="I66" s="36"/>
    </row>
  </sheetData>
  <mergeCells count="6">
    <mergeCell ref="A1:I1"/>
    <mergeCell ref="A11:A12"/>
    <mergeCell ref="B11:B12"/>
    <mergeCell ref="F11:F12"/>
    <mergeCell ref="G11:G12"/>
    <mergeCell ref="H11:H12"/>
  </mergeCells>
  <pageMargins left="0.7" right="0.7" top="0.75" bottom="0.75" header="0.3" footer="0.3"/>
  <pageSetup paperSize="9" scale="67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2026-05-22T07:41:34Z</dcterms:created>
  <dcterms:modified xsi:type="dcterms:W3CDTF">2026-05-22T07:42:32Z</dcterms:modified>
</cp:coreProperties>
</file>