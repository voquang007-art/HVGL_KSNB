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7-12\"/>
    </mc:Choice>
  </mc:AlternateContent>
  <xr:revisionPtr revIDLastSave="0" documentId="13_ncr:1_{859A5C48-3013-4277-8782-2454C4C54EA1}" xr6:coauthVersionLast="47" xr6:coauthVersionMax="47" xr10:uidLastSave="{00000000-0000-0000-0000-000000000000}"/>
  <bookViews>
    <workbookView xWindow="-120" yWindow="-120" windowWidth="29040" windowHeight="15840" xr2:uid="{C82188AB-66D0-4E42-9EE6-9BD7D6E8DAA2}"/>
  </bookViews>
  <sheets>
    <sheet name="17.1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D49" i="1"/>
  <c r="C49" i="1"/>
  <c r="B49" i="1"/>
  <c r="H48" i="1"/>
  <c r="F48" i="1"/>
  <c r="H47" i="1"/>
  <c r="F47" i="1"/>
  <c r="F49" i="1" s="1"/>
  <c r="H46" i="1"/>
  <c r="F46" i="1"/>
  <c r="G44" i="1"/>
  <c r="G49" i="1" s="1"/>
  <c r="G60" i="1" s="1"/>
  <c r="F44" i="1"/>
  <c r="H44" i="1" s="1"/>
  <c r="F43" i="1"/>
  <c r="H43" i="1" s="1"/>
  <c r="F42" i="1"/>
  <c r="H42" i="1" s="1"/>
  <c r="F41" i="1"/>
  <c r="H41" i="1" s="1"/>
  <c r="F40" i="1"/>
  <c r="H40" i="1" s="1"/>
  <c r="H39" i="1"/>
  <c r="F39" i="1"/>
  <c r="F38" i="1"/>
  <c r="H38" i="1" s="1"/>
  <c r="F37" i="1"/>
  <c r="H37" i="1" s="1"/>
  <c r="F36" i="1"/>
  <c r="H36" i="1" s="1"/>
  <c r="F35" i="1"/>
  <c r="H35" i="1" s="1"/>
  <c r="F34" i="1"/>
  <c r="H34" i="1" s="1"/>
  <c r="H33" i="1"/>
  <c r="F33" i="1"/>
  <c r="F32" i="1"/>
  <c r="H32" i="1" s="1"/>
  <c r="F31" i="1"/>
  <c r="H31" i="1" s="1"/>
  <c r="F30" i="1"/>
  <c r="H30" i="1" s="1"/>
  <c r="F29" i="1"/>
  <c r="H29" i="1" s="1"/>
  <c r="F28" i="1"/>
  <c r="H28" i="1" s="1"/>
  <c r="H27" i="1"/>
  <c r="F27" i="1"/>
  <c r="F26" i="1"/>
  <c r="H26" i="1" s="1"/>
  <c r="F25" i="1"/>
  <c r="H25" i="1" s="1"/>
  <c r="F24" i="1"/>
  <c r="H24" i="1" s="1"/>
  <c r="F23" i="1"/>
  <c r="H23" i="1" s="1"/>
  <c r="F22" i="1"/>
  <c r="H22" i="1" s="1"/>
  <c r="H21" i="1"/>
  <c r="F21" i="1"/>
  <c r="F20" i="1"/>
  <c r="H20" i="1" s="1"/>
  <c r="F19" i="1"/>
  <c r="H19" i="1" s="1"/>
  <c r="F18" i="1"/>
  <c r="H18" i="1" s="1"/>
  <c r="F17" i="1"/>
  <c r="H17" i="1" s="1"/>
  <c r="F16" i="1"/>
  <c r="H16" i="1" s="1"/>
  <c r="H15" i="1"/>
  <c r="F15" i="1"/>
  <c r="F14" i="1"/>
  <c r="H14" i="1" s="1"/>
  <c r="F13" i="1"/>
  <c r="H13" i="1" s="1"/>
  <c r="F12" i="1"/>
  <c r="H12" i="1" s="1"/>
  <c r="F11" i="1"/>
  <c r="H11" i="1" s="1"/>
  <c r="F10" i="1"/>
  <c r="H10" i="1" s="1"/>
  <c r="H9" i="1"/>
  <c r="F9" i="1"/>
  <c r="F8" i="1"/>
  <c r="H8" i="1" s="1"/>
  <c r="F7" i="1"/>
  <c r="H7" i="1" s="1"/>
  <c r="F6" i="1"/>
  <c r="H6" i="1" s="1"/>
  <c r="F5" i="1"/>
  <c r="H5" i="1" s="1"/>
  <c r="F4" i="1"/>
  <c r="H4" i="1" s="1"/>
  <c r="H49" i="1" l="1"/>
</calcChain>
</file>

<file path=xl/sharedStrings.xml><?xml version="1.0" encoding="utf-8"?>
<sst xmlns="http://schemas.openxmlformats.org/spreadsheetml/2006/main" count="69" uniqueCount="69">
  <si>
    <t>THEO DÕI THU TIỀN NGÀY 17/12/25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</si>
  <si>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</si>
  <si>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</si>
  <si>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</si>
  <si>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</si>
  <si>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</si>
  <si>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</si>
  <si>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</si>
  <si>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</si>
  <si>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10274-Trần Bích Tiền</t>
  </si>
  <si>
    <t>Điều dưỡng nộp ngày 18/12, số tiền: 23.654.000</t>
  </si>
  <si>
    <t>10277-Nguyễn Thị Mai Phương</t>
  </si>
  <si>
    <t>10300-Nguyễn Thị Ngọc Hậu</t>
  </si>
  <si>
    <t>10309-Phạm Thị Hằng</t>
  </si>
  <si>
    <t>107-Nguyễn Ngọc Nhi</t>
  </si>
  <si>
    <t>BN khoa PHCN-YHCT ra viện tạm ứng dư, kế toán đã chi hoàn cho khoa theo bảng kê đính kèm</t>
  </si>
  <si>
    <t>120-Nguyễn Thị Quyên</t>
  </si>
  <si>
    <t>123-Lê Thị Thu Hường</t>
  </si>
  <si>
    <t>148-Trương Thị Hồng Yến</t>
  </si>
  <si>
    <t>152-Nguyễn Thị Hồng Nhi</t>
  </si>
  <si>
    <t>175-Phạm Thị Cẩm Tiên</t>
  </si>
  <si>
    <t>BN Huỳnh Thị Lệ Quyên khoa Nhi ra viện tạm ứng dư, kế toán đã chi hoàn ngày 18/12</t>
  </si>
  <si>
    <t>219-Lê Thị Thu Hà</t>
  </si>
  <si>
    <t>239-Trương Thị Mỹ Dung</t>
  </si>
  <si>
    <t>24-Phan Thị Huế</t>
  </si>
  <si>
    <t>252-Nguyễn Thị Thùy Trang</t>
  </si>
  <si>
    <t>BN Võ Nguyễn Minh Khôi BLVP ra viện tạm ứng dư, kế toán đã chi hoàn</t>
  </si>
  <si>
    <t>25-Nguyễn Hoàng Lâm</t>
  </si>
  <si>
    <t>298-Vũ Thị Bông</t>
  </si>
  <si>
    <t>Điều dưỡng nộp ngày 18/12, số tiền: 13.461.000</t>
  </si>
  <si>
    <t>300-Trần Thị Thạch Thảo</t>
  </si>
  <si>
    <t>301-Võ Lê Uyên Thuy</t>
  </si>
  <si>
    <t>303-Huỳnh Thị Hạnh</t>
  </si>
  <si>
    <t>305-Trần Ngọc Trung</t>
  </si>
  <si>
    <t>354-Lê Thị Hồng Thúy</t>
  </si>
  <si>
    <t>374-Trương Thị Quỳnh Anh</t>
  </si>
  <si>
    <t>482-Phạm Thị Thu Hương</t>
  </si>
  <si>
    <t>505-Lê Thị Hồng Duyên</t>
  </si>
  <si>
    <t>51-Nguyễn Thị Thảo</t>
  </si>
  <si>
    <t>56-Đinh Thị Thùy Giang</t>
  </si>
  <si>
    <t>626-Nguyễn Thị Thu Hương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</si>
  <si>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</si>
  <si>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</si>
  <si>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</si>
  <si>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</si>
  <si>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</si>
  <si>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702-Huỳnh Thị Tường Vy</t>
  </si>
  <si>
    <t>710-Hà Thúy Viên</t>
  </si>
  <si>
    <t>723-Nguyễn Thị Thu Trang</t>
  </si>
  <si>
    <t>74-Đoàn Thị Hiếu</t>
  </si>
  <si>
    <t>759-Đoàn Thị Thu Uyên</t>
  </si>
  <si>
    <t>81-Nguyễn Vũ Thị Hòa</t>
  </si>
  <si>
    <t>82-Lê Thị Minh Phượng</t>
  </si>
  <si>
    <t>85-Nguyễn Thị Thu Ngân</t>
  </si>
  <si>
    <t>94-Trần Thị Trúc</t>
  </si>
  <si>
    <t>BN Nguyễn Thị Kiều Trâm khoa HSTC-CĐ ra viện tạm ứng dư, kế toán đã chuyển hoàn ngày 18/12</t>
  </si>
  <si>
    <t>BN YIU khoa HSTC-CĐ ra viện tạm ứng dư 7.936.282 - chưa hoàn tiền BN</t>
  </si>
  <si>
    <t>95-Đặng Ngọc Diễm Thy</t>
  </si>
  <si>
    <t>Nguyễn Thị Song Nhàn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</si>
  <si>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</si>
  <si>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</si>
  <si>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</si>
  <si>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</si>
  <si>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</si>
  <si>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</si>
  <si>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</si>
  <si>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</si>
  <si>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</si>
  <si>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17/12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</si>
</sst>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QUYNH%20NHU%202025/10.%20MINH%20LO/BC%20THU%20CHI/Thang%2012/171225.xlsx" TargetMode="External"/><Relationship Id="rId2" Type="http://schemas.openxmlformats.org/officeDocument/2006/relationships/externalLinkPath" Target="file:///D:\QUYNH%20NHU%202025\10.%20MINH%20LO\BC%20THU%20CHI\Thang%2012\171225.xlsx" TargetMode="External"/><Relationship Id="rId1" Type="http://schemas.openxmlformats.org/officeDocument/2006/relationships/externalLinkPath" Target="/QUYNH%20NHU%202025/10.%20MINH%20LO/BC%20THU%20CHI/Thang%2012/17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1"/>
      <sheetName val="Sheet1"/>
    </sheetNames>
    <sheetDataSet>
      <sheetData sheetId="0">
        <row r="1091">
          <cell r="U1091">
            <v>200000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1FAD-EE99-4511-BB85-0FFC19A5BFBD}">
  <sheetPr>
    <pageSetUpPr fitToPage="1"/>
  </sheetPr>
  <dimension ref="A1:I60"/>
  <sheetViews>
    <sheetView tabSelected="1" workbookViewId="0">
      <selection activeCell="O3" sqref="O3"/>
    </sheetView>
  </sheetViews>
  <sheetFormatPr defaultRowHeight="15.75" x14ac:dyDescent="0.25"/>
  <cols>
    <col min="1" max="1" width="28.375" style="1" customWidth="1"/>
    <col min="2" max="2" width="14.875" style="1" customWidth="1"/>
    <col min="3" max="5" width="14.875" style="1" hidden="1" customWidth="1"/>
    <col min="6" max="8" width="14.875" style="1" customWidth="1"/>
    <col min="9" max="9" width="36.125" style="1" customWidth="1"/>
    <col min="10" max="16384" width="9" style="1"/>
  </cols>
  <sheetData>
    <row r="1" spans="1:9" ht="21.7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49.5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33" x14ac:dyDescent="0.25">
      <c r="A4" s="10" t="s">
        <v>9</v>
      </c>
      <c r="B4" s="11">
        <v>32613963.23</v>
      </c>
      <c r="C4" s="12">
        <v>2200000</v>
      </c>
      <c r="D4" s="12">
        <v>6759388.9800000004</v>
      </c>
      <c r="E4" s="13">
        <v>0</v>
      </c>
      <c r="F4" s="12">
        <f>+C4+D4+E4</f>
        <v>8959388.9800000004</v>
      </c>
      <c r="G4" s="14"/>
      <c r="H4" s="14">
        <f>+B4-F4-G4</f>
        <v>23654574.25</v>
      </c>
      <c r="I4" s="15" t="s">
        <v>10</v>
      </c>
    </row>
    <row r="5" spans="1:9" ht="16.5" x14ac:dyDescent="0.25">
      <c r="A5" s="10" t="s">
        <v>11</v>
      </c>
      <c r="B5" s="13">
        <v>32618393.579999998</v>
      </c>
      <c r="C5" s="12">
        <v>0</v>
      </c>
      <c r="D5" s="12">
        <v>2899424.04</v>
      </c>
      <c r="E5" s="13">
        <v>2000000</v>
      </c>
      <c r="F5" s="12">
        <f t="shared" ref="F5:F48" si="0">+C5+D5+E5</f>
        <v>4899424.04</v>
      </c>
      <c r="G5" s="14">
        <v>27719000</v>
      </c>
      <c r="H5" s="14">
        <f t="shared" ref="H5:H48" si="1">+B5-F5-G5</f>
        <v>-30.46000000089407</v>
      </c>
      <c r="I5" s="15"/>
    </row>
    <row r="6" spans="1:9" ht="16.5" x14ac:dyDescent="0.25">
      <c r="A6" s="10" t="s">
        <v>12</v>
      </c>
      <c r="B6" s="13">
        <v>333000</v>
      </c>
      <c r="C6" s="12">
        <v>0</v>
      </c>
      <c r="D6" s="12">
        <v>333000</v>
      </c>
      <c r="E6" s="13">
        <v>0</v>
      </c>
      <c r="F6" s="12">
        <f t="shared" si="0"/>
        <v>333000</v>
      </c>
      <c r="G6" s="14"/>
      <c r="H6" s="14">
        <f t="shared" si="1"/>
        <v>0</v>
      </c>
      <c r="I6" s="12"/>
    </row>
    <row r="7" spans="1:9" ht="16.5" x14ac:dyDescent="0.25">
      <c r="A7" s="16" t="s">
        <v>13</v>
      </c>
      <c r="B7" s="17">
        <v>7706000</v>
      </c>
      <c r="C7" s="18">
        <v>1600000</v>
      </c>
      <c r="D7" s="18">
        <v>2566000</v>
      </c>
      <c r="E7" s="17">
        <v>0</v>
      </c>
      <c r="F7" s="12">
        <f t="shared" si="0"/>
        <v>4166000</v>
      </c>
      <c r="G7" s="19">
        <v>3540000</v>
      </c>
      <c r="H7" s="14">
        <f t="shared" si="1"/>
        <v>0</v>
      </c>
      <c r="I7" s="12"/>
    </row>
    <row r="8" spans="1:9" ht="49.5" x14ac:dyDescent="0.25">
      <c r="A8" s="10" t="s">
        <v>14</v>
      </c>
      <c r="B8" s="13">
        <v>4865690.25</v>
      </c>
      <c r="C8" s="12">
        <v>0</v>
      </c>
      <c r="D8" s="12">
        <v>5000000</v>
      </c>
      <c r="E8" s="13">
        <v>0</v>
      </c>
      <c r="F8" s="12">
        <f t="shared" si="0"/>
        <v>5000000</v>
      </c>
      <c r="G8" s="14"/>
      <c r="H8" s="14">
        <f t="shared" si="1"/>
        <v>-134309.75</v>
      </c>
      <c r="I8" s="12" t="s">
        <v>15</v>
      </c>
    </row>
    <row r="9" spans="1:9" ht="16.5" x14ac:dyDescent="0.25">
      <c r="A9" s="10" t="s">
        <v>16</v>
      </c>
      <c r="B9" s="13">
        <v>3898525.14</v>
      </c>
      <c r="C9" s="12">
        <v>0</v>
      </c>
      <c r="D9" s="12">
        <v>830757.4</v>
      </c>
      <c r="E9" s="13">
        <v>0</v>
      </c>
      <c r="F9" s="12">
        <f t="shared" si="0"/>
        <v>830757.4</v>
      </c>
      <c r="G9" s="14">
        <v>3067000</v>
      </c>
      <c r="H9" s="14">
        <f t="shared" si="1"/>
        <v>767.74000000022352</v>
      </c>
      <c r="I9" s="15"/>
    </row>
    <row r="10" spans="1:9" ht="16.5" x14ac:dyDescent="0.25">
      <c r="A10" s="10" t="s">
        <v>17</v>
      </c>
      <c r="B10" s="13">
        <v>8336854.3200000003</v>
      </c>
      <c r="C10" s="12">
        <v>546139.69999999995</v>
      </c>
      <c r="D10" s="12">
        <v>1914065.72</v>
      </c>
      <c r="E10" s="13">
        <v>0</v>
      </c>
      <c r="F10" s="12">
        <f t="shared" si="0"/>
        <v>2460205.42</v>
      </c>
      <c r="G10" s="14">
        <v>5877000</v>
      </c>
      <c r="H10" s="14">
        <f t="shared" si="1"/>
        <v>-351.09999999962747</v>
      </c>
      <c r="I10" s="12"/>
    </row>
    <row r="11" spans="1:9" ht="16.5" x14ac:dyDescent="0.25">
      <c r="A11" s="10" t="s">
        <v>18</v>
      </c>
      <c r="B11" s="13">
        <v>5000000</v>
      </c>
      <c r="C11" s="12">
        <v>0</v>
      </c>
      <c r="D11" s="12">
        <v>0</v>
      </c>
      <c r="E11" s="13">
        <v>0</v>
      </c>
      <c r="F11" s="12">
        <f t="shared" si="0"/>
        <v>0</v>
      </c>
      <c r="G11" s="14">
        <v>5000000</v>
      </c>
      <c r="H11" s="14">
        <f t="shared" si="1"/>
        <v>0</v>
      </c>
      <c r="I11" s="12"/>
    </row>
    <row r="12" spans="1:9" ht="16.5" x14ac:dyDescent="0.25">
      <c r="A12" s="16" t="s">
        <v>19</v>
      </c>
      <c r="B12" s="17">
        <v>548000</v>
      </c>
      <c r="C12" s="18">
        <v>0</v>
      </c>
      <c r="D12" s="18">
        <v>548000</v>
      </c>
      <c r="E12" s="17">
        <v>0</v>
      </c>
      <c r="F12" s="12">
        <f t="shared" si="0"/>
        <v>548000</v>
      </c>
      <c r="G12" s="19"/>
      <c r="H12" s="14">
        <f t="shared" si="1"/>
        <v>0</v>
      </c>
      <c r="I12" s="12"/>
    </row>
    <row r="13" spans="1:9" ht="49.5" x14ac:dyDescent="0.25">
      <c r="A13" s="10" t="s">
        <v>20</v>
      </c>
      <c r="B13" s="13">
        <v>64995553.670000002</v>
      </c>
      <c r="C13" s="12">
        <v>0</v>
      </c>
      <c r="D13" s="12">
        <v>31222974.260000002</v>
      </c>
      <c r="E13" s="13">
        <v>0</v>
      </c>
      <c r="F13" s="12">
        <f t="shared" si="0"/>
        <v>31222974.260000002</v>
      </c>
      <c r="G13" s="14">
        <v>35281000</v>
      </c>
      <c r="H13" s="14">
        <f t="shared" si="1"/>
        <v>-1508420.5900000036</v>
      </c>
      <c r="I13" s="12" t="s">
        <v>21</v>
      </c>
    </row>
    <row r="14" spans="1:9" ht="16.5" x14ac:dyDescent="0.25">
      <c r="A14" s="10" t="s">
        <v>22</v>
      </c>
      <c r="B14" s="13">
        <v>13035016.76</v>
      </c>
      <c r="C14" s="12">
        <v>0</v>
      </c>
      <c r="D14" s="12">
        <v>2168679.5</v>
      </c>
      <c r="E14" s="13">
        <v>0</v>
      </c>
      <c r="F14" s="12">
        <f t="shared" si="0"/>
        <v>2168679.5</v>
      </c>
      <c r="G14" s="14">
        <v>10866000</v>
      </c>
      <c r="H14" s="14">
        <f t="shared" si="1"/>
        <v>337.25999999977648</v>
      </c>
      <c r="I14" s="15"/>
    </row>
    <row r="15" spans="1:9" ht="16.5" x14ac:dyDescent="0.25">
      <c r="A15" s="10" t="s">
        <v>23</v>
      </c>
      <c r="B15" s="13">
        <v>5600092.4000000004</v>
      </c>
      <c r="C15" s="12">
        <v>397940.56</v>
      </c>
      <c r="D15" s="12">
        <v>5000000</v>
      </c>
      <c r="E15" s="13">
        <v>0</v>
      </c>
      <c r="F15" s="12">
        <f t="shared" si="0"/>
        <v>5397940.5599999996</v>
      </c>
      <c r="G15" s="14">
        <v>202000</v>
      </c>
      <c r="H15" s="14">
        <f t="shared" si="1"/>
        <v>151.84000000078231</v>
      </c>
      <c r="I15" s="12"/>
    </row>
    <row r="16" spans="1:9" ht="16.5" x14ac:dyDescent="0.25">
      <c r="A16" s="10" t="s">
        <v>24</v>
      </c>
      <c r="B16" s="13">
        <v>15000000</v>
      </c>
      <c r="C16" s="12">
        <v>0</v>
      </c>
      <c r="D16" s="12">
        <v>10000000</v>
      </c>
      <c r="E16" s="13">
        <v>0</v>
      </c>
      <c r="F16" s="12">
        <f t="shared" si="0"/>
        <v>10000000</v>
      </c>
      <c r="G16" s="14">
        <v>5000000</v>
      </c>
      <c r="H16" s="14">
        <f t="shared" si="1"/>
        <v>0</v>
      </c>
      <c r="I16" s="12"/>
    </row>
    <row r="17" spans="1:9" ht="33" x14ac:dyDescent="0.25">
      <c r="A17" s="16" t="s">
        <v>25</v>
      </c>
      <c r="B17" s="17">
        <v>-791200</v>
      </c>
      <c r="C17" s="18">
        <v>0</v>
      </c>
      <c r="D17" s="18">
        <v>208800</v>
      </c>
      <c r="E17" s="17">
        <v>0</v>
      </c>
      <c r="F17" s="12">
        <f t="shared" si="0"/>
        <v>208800</v>
      </c>
      <c r="G17" s="19"/>
      <c r="H17" s="14">
        <f t="shared" si="1"/>
        <v>-1000000</v>
      </c>
      <c r="I17" s="12" t="s">
        <v>26</v>
      </c>
    </row>
    <row r="18" spans="1:9" ht="16.5" x14ac:dyDescent="0.25">
      <c r="A18" s="10" t="s">
        <v>27</v>
      </c>
      <c r="B18" s="13">
        <v>21516694.75</v>
      </c>
      <c r="C18" s="12">
        <v>2000000</v>
      </c>
      <c r="D18" s="12">
        <v>12000000</v>
      </c>
      <c r="E18" s="13">
        <v>0</v>
      </c>
      <c r="F18" s="12">
        <f t="shared" si="0"/>
        <v>14000000</v>
      </c>
      <c r="G18" s="14">
        <v>7511000</v>
      </c>
      <c r="H18" s="14">
        <f t="shared" si="1"/>
        <v>5694.75</v>
      </c>
      <c r="I18" s="12"/>
    </row>
    <row r="19" spans="1:9" ht="33" x14ac:dyDescent="0.25">
      <c r="A19" s="10" t="s">
        <v>28</v>
      </c>
      <c r="B19" s="13">
        <v>23442630.989999998</v>
      </c>
      <c r="C19" s="12">
        <v>0</v>
      </c>
      <c r="D19" s="12">
        <v>9981195.2100000009</v>
      </c>
      <c r="E19" s="13">
        <v>0</v>
      </c>
      <c r="F19" s="12">
        <f t="shared" si="0"/>
        <v>9981195.2100000009</v>
      </c>
      <c r="G19" s="14"/>
      <c r="H19" s="14">
        <f t="shared" si="1"/>
        <v>13461435.779999997</v>
      </c>
      <c r="I19" s="15" t="s">
        <v>29</v>
      </c>
    </row>
    <row r="20" spans="1:9" ht="16.5" x14ac:dyDescent="0.25">
      <c r="A20" s="10" t="s">
        <v>30</v>
      </c>
      <c r="B20" s="13">
        <v>70777956.680000007</v>
      </c>
      <c r="C20" s="12">
        <v>1784936.54</v>
      </c>
      <c r="D20" s="12">
        <v>63000000</v>
      </c>
      <c r="E20" s="13">
        <v>0</v>
      </c>
      <c r="F20" s="12">
        <f t="shared" si="0"/>
        <v>64784936.539999999</v>
      </c>
      <c r="G20" s="14">
        <v>5993000</v>
      </c>
      <c r="H20" s="14">
        <f t="shared" si="1"/>
        <v>20.140000008046627</v>
      </c>
      <c r="I20" s="15"/>
    </row>
    <row r="21" spans="1:9" ht="16.5" x14ac:dyDescent="0.25">
      <c r="A21" s="10" t="s">
        <v>31</v>
      </c>
      <c r="B21" s="13">
        <v>22000</v>
      </c>
      <c r="C21" s="12">
        <v>0</v>
      </c>
      <c r="D21" s="12">
        <v>0</v>
      </c>
      <c r="E21" s="13">
        <v>0</v>
      </c>
      <c r="F21" s="12">
        <f t="shared" si="0"/>
        <v>0</v>
      </c>
      <c r="G21" s="14">
        <v>22000</v>
      </c>
      <c r="H21" s="14">
        <f t="shared" si="1"/>
        <v>0</v>
      </c>
      <c r="I21" s="15"/>
    </row>
    <row r="22" spans="1:9" ht="16.5" x14ac:dyDescent="0.25">
      <c r="A22" s="10" t="s">
        <v>32</v>
      </c>
      <c r="B22" s="13">
        <v>13776952.16</v>
      </c>
      <c r="C22" s="12">
        <v>690000</v>
      </c>
      <c r="D22" s="12">
        <v>4337966.7</v>
      </c>
      <c r="E22" s="13">
        <v>0</v>
      </c>
      <c r="F22" s="12">
        <f t="shared" si="0"/>
        <v>5027966.7</v>
      </c>
      <c r="G22" s="14">
        <v>8748000</v>
      </c>
      <c r="H22" s="14">
        <f t="shared" si="1"/>
        <v>985.46000000089407</v>
      </c>
      <c r="I22" s="12"/>
    </row>
    <row r="23" spans="1:9" ht="16.5" hidden="1" x14ac:dyDescent="0.25">
      <c r="A23" s="10" t="s">
        <v>33</v>
      </c>
      <c r="B23" s="13">
        <v>0</v>
      </c>
      <c r="C23" s="12">
        <v>0</v>
      </c>
      <c r="D23" s="12">
        <v>0</v>
      </c>
      <c r="E23" s="13">
        <v>0</v>
      </c>
      <c r="F23" s="12">
        <f t="shared" si="0"/>
        <v>0</v>
      </c>
      <c r="G23" s="14"/>
      <c r="H23" s="14">
        <f t="shared" si="1"/>
        <v>0</v>
      </c>
      <c r="I23" s="15"/>
    </row>
    <row r="24" spans="1:9" ht="16.5" x14ac:dyDescent="0.25">
      <c r="A24" s="10" t="s">
        <v>34</v>
      </c>
      <c r="B24" s="13">
        <v>14914331.49</v>
      </c>
      <c r="C24" s="12">
        <v>0</v>
      </c>
      <c r="D24" s="12">
        <v>5368721.0499999998</v>
      </c>
      <c r="E24" s="13">
        <v>0</v>
      </c>
      <c r="F24" s="12">
        <f t="shared" si="0"/>
        <v>5368721.0499999998</v>
      </c>
      <c r="G24" s="14">
        <v>9545000</v>
      </c>
      <c r="H24" s="14">
        <f t="shared" si="1"/>
        <v>610.4400000013411</v>
      </c>
      <c r="I24" s="15"/>
    </row>
    <row r="25" spans="1:9" ht="16.5" x14ac:dyDescent="0.25">
      <c r="A25" s="10" t="s">
        <v>35</v>
      </c>
      <c r="B25" s="13">
        <v>300000</v>
      </c>
      <c r="C25" s="12">
        <v>0</v>
      </c>
      <c r="D25" s="12">
        <v>300000</v>
      </c>
      <c r="E25" s="13">
        <v>0</v>
      </c>
      <c r="F25" s="12">
        <f t="shared" si="0"/>
        <v>300000</v>
      </c>
      <c r="G25" s="14"/>
      <c r="H25" s="14">
        <f t="shared" si="1"/>
        <v>0</v>
      </c>
      <c r="I25" s="15"/>
    </row>
    <row r="26" spans="1:9" ht="16.5" x14ac:dyDescent="0.25">
      <c r="A26" s="10" t="s">
        <v>36</v>
      </c>
      <c r="B26" s="13">
        <v>31451673.77</v>
      </c>
      <c r="C26" s="12">
        <v>800000</v>
      </c>
      <c r="D26" s="12">
        <v>5798956</v>
      </c>
      <c r="E26" s="13">
        <v>0</v>
      </c>
      <c r="F26" s="12">
        <f t="shared" si="0"/>
        <v>6598956</v>
      </c>
      <c r="G26" s="14">
        <v>24852000</v>
      </c>
      <c r="H26" s="14">
        <f t="shared" si="1"/>
        <v>717.76999999955297</v>
      </c>
      <c r="I26" s="12"/>
    </row>
    <row r="27" spans="1:9" ht="16.5" x14ac:dyDescent="0.25">
      <c r="A27" s="16" t="s">
        <v>37</v>
      </c>
      <c r="B27" s="17">
        <v>17995303.960000001</v>
      </c>
      <c r="C27" s="18">
        <v>0</v>
      </c>
      <c r="D27" s="18">
        <v>3436610.25</v>
      </c>
      <c r="E27" s="17">
        <v>0</v>
      </c>
      <c r="F27" s="12">
        <f t="shared" si="0"/>
        <v>3436610.25</v>
      </c>
      <c r="G27" s="19">
        <v>14558000</v>
      </c>
      <c r="H27" s="14">
        <f t="shared" si="1"/>
        <v>693.71000000089407</v>
      </c>
      <c r="I27" s="12"/>
    </row>
    <row r="28" spans="1:9" ht="16.5" x14ac:dyDescent="0.25">
      <c r="A28" s="10" t="s">
        <v>38</v>
      </c>
      <c r="B28" s="13">
        <v>41843505.539999999</v>
      </c>
      <c r="C28" s="12">
        <v>0</v>
      </c>
      <c r="D28" s="12">
        <v>27091374.699999999</v>
      </c>
      <c r="E28" s="13">
        <v>0</v>
      </c>
      <c r="F28" s="12">
        <f t="shared" si="0"/>
        <v>27091374.699999999</v>
      </c>
      <c r="G28" s="14">
        <v>14752000</v>
      </c>
      <c r="H28" s="14">
        <f t="shared" si="1"/>
        <v>130.83999999985099</v>
      </c>
      <c r="I28" s="12"/>
    </row>
    <row r="29" spans="1:9" ht="16.5" x14ac:dyDescent="0.25">
      <c r="A29" s="10" t="s">
        <v>39</v>
      </c>
      <c r="B29" s="13">
        <v>66691437.640000001</v>
      </c>
      <c r="C29" s="12">
        <v>0</v>
      </c>
      <c r="D29" s="12">
        <v>17062565.91</v>
      </c>
      <c r="E29" s="13">
        <v>0</v>
      </c>
      <c r="F29" s="12">
        <f t="shared" si="0"/>
        <v>17062565.91</v>
      </c>
      <c r="G29" s="14">
        <v>49629000</v>
      </c>
      <c r="H29" s="14">
        <f t="shared" si="1"/>
        <v>-128.26999999582767</v>
      </c>
      <c r="I29" s="15"/>
    </row>
    <row r="30" spans="1:9" ht="16.5" x14ac:dyDescent="0.25">
      <c r="A30" s="10" t="s">
        <v>40</v>
      </c>
      <c r="B30" s="13">
        <v>40244658.590000004</v>
      </c>
      <c r="C30" s="12">
        <v>6170182.4299999997</v>
      </c>
      <c r="D30" s="12">
        <v>18000000</v>
      </c>
      <c r="E30" s="13">
        <v>0</v>
      </c>
      <c r="F30" s="12">
        <f t="shared" si="0"/>
        <v>24170182.43</v>
      </c>
      <c r="G30" s="14">
        <v>16074000</v>
      </c>
      <c r="H30" s="14">
        <f t="shared" si="1"/>
        <v>476.1600000038743</v>
      </c>
      <c r="I30" s="12"/>
    </row>
    <row r="31" spans="1:9" ht="16.5" x14ac:dyDescent="0.25">
      <c r="A31" s="16" t="s">
        <v>41</v>
      </c>
      <c r="B31" s="17">
        <v>400000</v>
      </c>
      <c r="C31" s="18">
        <v>400000</v>
      </c>
      <c r="D31" s="18">
        <v>0</v>
      </c>
      <c r="E31" s="17">
        <v>0</v>
      </c>
      <c r="F31" s="12">
        <f t="shared" si="0"/>
        <v>400000</v>
      </c>
      <c r="G31" s="19"/>
      <c r="H31" s="14">
        <f t="shared" si="1"/>
        <v>0</v>
      </c>
      <c r="I31" s="12"/>
    </row>
    <row r="32" spans="1:9" ht="16.5" x14ac:dyDescent="0.25">
      <c r="A32" s="10" t="s">
        <v>42</v>
      </c>
      <c r="B32" s="13">
        <v>22523704.07</v>
      </c>
      <c r="C32" s="12">
        <v>0</v>
      </c>
      <c r="D32" s="12">
        <v>16353000.800000001</v>
      </c>
      <c r="E32" s="13">
        <v>0</v>
      </c>
      <c r="F32" s="12">
        <f t="shared" si="0"/>
        <v>16353000.800000001</v>
      </c>
      <c r="G32" s="14">
        <v>6170000</v>
      </c>
      <c r="H32" s="14">
        <f t="shared" si="1"/>
        <v>703.26999999955297</v>
      </c>
      <c r="I32" s="12"/>
    </row>
    <row r="33" spans="1:9" ht="16.5" x14ac:dyDescent="0.25">
      <c r="A33" s="10" t="s">
        <v>43</v>
      </c>
      <c r="B33" s="13">
        <v>87008133.739999995</v>
      </c>
      <c r="C33" s="12">
        <v>684597</v>
      </c>
      <c r="D33" s="12">
        <v>39903907.579999998</v>
      </c>
      <c r="E33" s="13">
        <v>3800000</v>
      </c>
      <c r="F33" s="12">
        <f t="shared" si="0"/>
        <v>44388504.579999998</v>
      </c>
      <c r="G33" s="14">
        <v>42619000</v>
      </c>
      <c r="H33" s="14">
        <f t="shared" si="1"/>
        <v>629.15999999642372</v>
      </c>
      <c r="I33" s="15"/>
    </row>
    <row r="34" spans="1:9" ht="16.5" x14ac:dyDescent="0.25">
      <c r="A34" s="10" t="s">
        <v>44</v>
      </c>
      <c r="B34" s="13">
        <v>25937783.699999999</v>
      </c>
      <c r="C34" s="12">
        <v>338000</v>
      </c>
      <c r="D34" s="12">
        <v>10173168.810000001</v>
      </c>
      <c r="E34" s="13">
        <v>0</v>
      </c>
      <c r="F34" s="12">
        <f t="shared" si="0"/>
        <v>10511168.810000001</v>
      </c>
      <c r="G34" s="14">
        <v>15426000</v>
      </c>
      <c r="H34" s="14">
        <f t="shared" si="1"/>
        <v>614.8899999987334</v>
      </c>
      <c r="I34" s="12"/>
    </row>
    <row r="35" spans="1:9" ht="16.5" x14ac:dyDescent="0.25">
      <c r="A35" s="10" t="s">
        <v>45</v>
      </c>
      <c r="B35" s="13">
        <v>34572847.890000001</v>
      </c>
      <c r="C35" s="12">
        <v>0</v>
      </c>
      <c r="D35" s="12">
        <v>7346002.1799999997</v>
      </c>
      <c r="E35" s="13">
        <v>0</v>
      </c>
      <c r="F35" s="12">
        <f t="shared" si="0"/>
        <v>7346002.1799999997</v>
      </c>
      <c r="G35" s="14">
        <v>27227000</v>
      </c>
      <c r="H35" s="14">
        <f t="shared" si="1"/>
        <v>-154.28999999910593</v>
      </c>
      <c r="I35" s="12"/>
    </row>
    <row r="36" spans="1:9" ht="16.5" x14ac:dyDescent="0.25">
      <c r="A36" s="16" t="s">
        <v>46</v>
      </c>
      <c r="B36" s="17">
        <v>22767217.109999999</v>
      </c>
      <c r="C36" s="18">
        <v>0</v>
      </c>
      <c r="D36" s="18">
        <v>10700000</v>
      </c>
      <c r="E36" s="17">
        <v>0</v>
      </c>
      <c r="F36" s="12">
        <f t="shared" si="0"/>
        <v>10700000</v>
      </c>
      <c r="G36" s="19">
        <v>12067000</v>
      </c>
      <c r="H36" s="14">
        <f t="shared" si="1"/>
        <v>217.10999999940395</v>
      </c>
      <c r="I36" s="12"/>
    </row>
    <row r="37" spans="1:9" ht="16.5" x14ac:dyDescent="0.25">
      <c r="A37" s="10" t="s">
        <v>47</v>
      </c>
      <c r="B37" s="13">
        <v>24981190.199999999</v>
      </c>
      <c r="C37" s="12">
        <v>0</v>
      </c>
      <c r="D37" s="12">
        <v>1300000</v>
      </c>
      <c r="E37" s="13">
        <v>0</v>
      </c>
      <c r="F37" s="12">
        <f t="shared" si="0"/>
        <v>1300000</v>
      </c>
      <c r="G37" s="14">
        <v>23681000</v>
      </c>
      <c r="H37" s="14">
        <f t="shared" si="1"/>
        <v>190.19999999925494</v>
      </c>
      <c r="I37" s="12"/>
    </row>
    <row r="38" spans="1:9" ht="16.5" x14ac:dyDescent="0.25">
      <c r="A38" s="10" t="s">
        <v>48</v>
      </c>
      <c r="B38" s="13">
        <v>12363940.75</v>
      </c>
      <c r="C38" s="12">
        <v>0</v>
      </c>
      <c r="D38" s="12">
        <v>1367466.05</v>
      </c>
      <c r="E38" s="13">
        <v>0</v>
      </c>
      <c r="F38" s="12">
        <f>+C38+D38+E38+'[1]Sheet 1'!U1091</f>
        <v>1567466.05</v>
      </c>
      <c r="G38" s="14">
        <v>10796000</v>
      </c>
      <c r="H38" s="14">
        <f t="shared" si="1"/>
        <v>474.69999999925494</v>
      </c>
      <c r="I38" s="12"/>
    </row>
    <row r="39" spans="1:9" ht="16.5" x14ac:dyDescent="0.25">
      <c r="A39" s="16" t="s">
        <v>49</v>
      </c>
      <c r="B39" s="17">
        <v>7599953.4699999997</v>
      </c>
      <c r="C39" s="18">
        <v>0</v>
      </c>
      <c r="D39" s="18">
        <v>1221729.49</v>
      </c>
      <c r="E39" s="17">
        <v>0</v>
      </c>
      <c r="F39" s="12">
        <f t="shared" si="0"/>
        <v>1221729.49</v>
      </c>
      <c r="G39" s="19">
        <v>6378000</v>
      </c>
      <c r="H39" s="14">
        <f t="shared" si="1"/>
        <v>223.97999999951571</v>
      </c>
      <c r="I39" s="12"/>
    </row>
    <row r="40" spans="1:9" ht="16.5" x14ac:dyDescent="0.25">
      <c r="A40" s="10" t="s">
        <v>50</v>
      </c>
      <c r="B40" s="13">
        <v>600000</v>
      </c>
      <c r="C40" s="12">
        <v>0</v>
      </c>
      <c r="D40" s="12">
        <v>600000</v>
      </c>
      <c r="E40" s="13">
        <v>0</v>
      </c>
      <c r="F40" s="12">
        <f t="shared" si="0"/>
        <v>600000</v>
      </c>
      <c r="G40" s="14"/>
      <c r="H40" s="14">
        <f t="shared" si="1"/>
        <v>0</v>
      </c>
      <c r="I40" s="12"/>
    </row>
    <row r="41" spans="1:9" ht="16.5" x14ac:dyDescent="0.25">
      <c r="A41" s="10" t="s">
        <v>51</v>
      </c>
      <c r="B41" s="13">
        <v>752000</v>
      </c>
      <c r="C41" s="12">
        <v>752000</v>
      </c>
      <c r="D41" s="12">
        <v>0</v>
      </c>
      <c r="E41" s="13">
        <v>0</v>
      </c>
      <c r="F41" s="12">
        <f t="shared" si="0"/>
        <v>752000</v>
      </c>
      <c r="G41" s="20"/>
      <c r="H41" s="14">
        <f t="shared" si="1"/>
        <v>0</v>
      </c>
      <c r="I41" s="15"/>
    </row>
    <row r="42" spans="1:9" ht="16.5" x14ac:dyDescent="0.25">
      <c r="A42" s="10" t="s">
        <v>52</v>
      </c>
      <c r="B42" s="13">
        <v>10877988.210000001</v>
      </c>
      <c r="C42" s="12">
        <v>0</v>
      </c>
      <c r="D42" s="12">
        <v>4704018.22</v>
      </c>
      <c r="E42" s="13">
        <v>0</v>
      </c>
      <c r="F42" s="12">
        <f t="shared" si="0"/>
        <v>4704018.22</v>
      </c>
      <c r="G42" s="14">
        <v>6174000</v>
      </c>
      <c r="H42" s="14">
        <f t="shared" si="1"/>
        <v>-30.00999999884516</v>
      </c>
      <c r="I42" s="12"/>
    </row>
    <row r="43" spans="1:9" ht="16.5" x14ac:dyDescent="0.25">
      <c r="A43" s="10" t="s">
        <v>53</v>
      </c>
      <c r="B43" s="13">
        <v>29500000</v>
      </c>
      <c r="C43" s="12">
        <v>0</v>
      </c>
      <c r="D43" s="12">
        <v>7000000</v>
      </c>
      <c r="E43" s="13">
        <v>0</v>
      </c>
      <c r="F43" s="12">
        <f t="shared" si="0"/>
        <v>7000000</v>
      </c>
      <c r="G43" s="14">
        <v>22500000</v>
      </c>
      <c r="H43" s="14">
        <f t="shared" si="1"/>
        <v>0</v>
      </c>
      <c r="I43" s="12"/>
    </row>
    <row r="44" spans="1:9" ht="49.5" x14ac:dyDescent="0.25">
      <c r="A44" s="21" t="s">
        <v>54</v>
      </c>
      <c r="B44" s="22">
        <v>134545361.11000001</v>
      </c>
      <c r="C44" s="18">
        <v>47027314.18</v>
      </c>
      <c r="D44" s="18">
        <v>0</v>
      </c>
      <c r="E44" s="17">
        <v>0</v>
      </c>
      <c r="F44" s="23">
        <f t="shared" si="0"/>
        <v>47027314.18</v>
      </c>
      <c r="G44" s="24">
        <f>92967000+3988000</f>
        <v>96955000</v>
      </c>
      <c r="H44" s="24">
        <f t="shared" si="1"/>
        <v>-9436953.0699999928</v>
      </c>
      <c r="I44" s="12" t="s">
        <v>55</v>
      </c>
    </row>
    <row r="45" spans="1:9" ht="33" x14ac:dyDescent="0.25">
      <c r="A45" s="25"/>
      <c r="B45" s="26"/>
      <c r="C45" s="18"/>
      <c r="D45" s="18"/>
      <c r="E45" s="17"/>
      <c r="F45" s="27"/>
      <c r="G45" s="28"/>
      <c r="H45" s="28"/>
      <c r="I45" s="12" t="s">
        <v>56</v>
      </c>
    </row>
    <row r="46" spans="1:9" ht="16.5" x14ac:dyDescent="0.25">
      <c r="A46" s="10" t="s">
        <v>57</v>
      </c>
      <c r="B46" s="13">
        <v>14948021.33</v>
      </c>
      <c r="C46" s="12">
        <v>252000</v>
      </c>
      <c r="D46" s="12">
        <v>1500000</v>
      </c>
      <c r="E46" s="13">
        <v>0</v>
      </c>
      <c r="F46" s="12">
        <f t="shared" si="0"/>
        <v>1752000</v>
      </c>
      <c r="G46" s="14">
        <v>13196000</v>
      </c>
      <c r="H46" s="14">
        <f t="shared" si="1"/>
        <v>21.330000000074506</v>
      </c>
      <c r="I46" s="12"/>
    </row>
    <row r="47" spans="1:9" ht="16.5" x14ac:dyDescent="0.25">
      <c r="A47" s="10" t="s">
        <v>58</v>
      </c>
      <c r="B47" s="13"/>
      <c r="C47" s="12"/>
      <c r="D47" s="12"/>
      <c r="E47" s="13"/>
      <c r="F47" s="12">
        <f t="shared" si="0"/>
        <v>0</v>
      </c>
      <c r="G47" s="20">
        <v>57480000</v>
      </c>
      <c r="H47" s="14">
        <f t="shared" si="1"/>
        <v>-57480000</v>
      </c>
      <c r="I47" s="15"/>
    </row>
    <row r="48" spans="1:9" ht="16.5" x14ac:dyDescent="0.25">
      <c r="A48" s="10"/>
      <c r="B48" s="13"/>
      <c r="C48" s="12"/>
      <c r="D48" s="12"/>
      <c r="E48" s="13"/>
      <c r="F48" s="12">
        <f t="shared" si="0"/>
        <v>0</v>
      </c>
      <c r="G48" s="14"/>
      <c r="H48" s="14">
        <f t="shared" si="1"/>
        <v>0</v>
      </c>
      <c r="I48" s="15"/>
    </row>
    <row r="49" spans="1:9" ht="16.5" x14ac:dyDescent="0.25">
      <c r="A49" s="29" t="s">
        <v>59</v>
      </c>
      <c r="B49" s="30">
        <f t="shared" ref="B49:H49" si="2">+SUM(B4:B48)</f>
        <v>966115176.50000024</v>
      </c>
      <c r="C49" s="30">
        <f t="shared" si="2"/>
        <v>65643110.409999996</v>
      </c>
      <c r="D49" s="30">
        <f t="shared" si="2"/>
        <v>337997772.85000008</v>
      </c>
      <c r="E49" s="30">
        <f t="shared" si="2"/>
        <v>5800000</v>
      </c>
      <c r="F49" s="30">
        <f t="shared" si="2"/>
        <v>409640883.26000005</v>
      </c>
      <c r="G49" s="30">
        <f t="shared" si="2"/>
        <v>588905000</v>
      </c>
      <c r="H49" s="31">
        <f t="shared" si="2"/>
        <v>-32430706.75999999</v>
      </c>
      <c r="I49" s="29"/>
    </row>
    <row r="50" spans="1:9" ht="16.5" x14ac:dyDescent="0.25">
      <c r="A50" s="32"/>
      <c r="B50" s="32"/>
      <c r="C50" s="32"/>
      <c r="D50" s="32"/>
      <c r="E50" s="32"/>
      <c r="F50" s="32"/>
      <c r="G50" s="33"/>
      <c r="H50" s="32"/>
      <c r="I50" s="32"/>
    </row>
    <row r="51" spans="1:9" ht="16.5" x14ac:dyDescent="0.25">
      <c r="A51" s="32" t="s">
        <v>60</v>
      </c>
      <c r="B51" s="32"/>
      <c r="C51" s="32"/>
      <c r="D51" s="32"/>
      <c r="E51" s="32"/>
      <c r="F51" s="32"/>
      <c r="G51" s="33">
        <v>29294000</v>
      </c>
      <c r="H51" s="32"/>
      <c r="I51" s="32"/>
    </row>
    <row r="52" spans="1:9" ht="16.5" x14ac:dyDescent="0.25">
      <c r="A52" s="32" t="s">
        <v>61</v>
      </c>
      <c r="B52" s="32"/>
      <c r="C52" s="32"/>
      <c r="D52" s="32"/>
      <c r="E52" s="32"/>
      <c r="F52" s="32"/>
      <c r="G52" s="33">
        <v>16498000</v>
      </c>
      <c r="H52" s="32"/>
      <c r="I52" s="32"/>
    </row>
    <row r="53" spans="1:9" ht="16.5" x14ac:dyDescent="0.25">
      <c r="A53" s="32" t="s">
        <v>62</v>
      </c>
      <c r="B53" s="32"/>
      <c r="C53" s="32"/>
      <c r="D53" s="32"/>
      <c r="E53" s="32"/>
      <c r="F53" s="32"/>
      <c r="G53" s="33">
        <v>3828000</v>
      </c>
      <c r="H53" s="32"/>
      <c r="I53" s="32"/>
    </row>
    <row r="54" spans="1:9" ht="16.5" x14ac:dyDescent="0.25">
      <c r="A54" s="32" t="s">
        <v>63</v>
      </c>
      <c r="B54" s="32"/>
      <c r="C54" s="32"/>
      <c r="D54" s="32"/>
      <c r="E54" s="32"/>
      <c r="F54" s="32"/>
      <c r="G54" s="33">
        <v>2771000</v>
      </c>
      <c r="H54" s="32"/>
      <c r="I54" s="32"/>
    </row>
    <row r="55" spans="1:9" ht="16.5" hidden="1" x14ac:dyDescent="0.25">
      <c r="A55" s="32" t="s">
        <v>64</v>
      </c>
      <c r="B55" s="32"/>
      <c r="C55" s="32"/>
      <c r="D55" s="32"/>
      <c r="E55" s="32"/>
      <c r="F55" s="32"/>
      <c r="G55" s="33"/>
      <c r="H55" s="32"/>
      <c r="I55" s="32"/>
    </row>
    <row r="56" spans="1:9" ht="16.5" hidden="1" x14ac:dyDescent="0.25">
      <c r="A56" s="32" t="s">
        <v>65</v>
      </c>
      <c r="B56" s="32"/>
      <c r="C56" s="32"/>
      <c r="D56" s="32"/>
      <c r="E56" s="32"/>
      <c r="F56" s="32"/>
      <c r="G56" s="33"/>
      <c r="H56" s="32"/>
      <c r="I56" s="32"/>
    </row>
    <row r="57" spans="1:9" ht="16.5" hidden="1" x14ac:dyDescent="0.25">
      <c r="A57" s="32" t="s">
        <v>66</v>
      </c>
      <c r="B57" s="32"/>
      <c r="C57" s="32"/>
      <c r="D57" s="32"/>
      <c r="E57" s="32"/>
      <c r="F57" s="32"/>
      <c r="G57" s="33"/>
      <c r="H57" s="32"/>
      <c r="I57" s="32"/>
    </row>
    <row r="58" spans="1:9" ht="16.5" hidden="1" x14ac:dyDescent="0.25">
      <c r="A58" s="32" t="s">
        <v>67</v>
      </c>
      <c r="B58" s="32"/>
      <c r="C58" s="32"/>
      <c r="D58" s="32"/>
      <c r="E58" s="32"/>
      <c r="F58" s="32"/>
      <c r="G58" s="33"/>
      <c r="H58" s="32"/>
      <c r="I58" s="32"/>
    </row>
    <row r="59" spans="1:9" ht="16.5" x14ac:dyDescent="0.25">
      <c r="A59" s="32"/>
      <c r="B59" s="32"/>
      <c r="C59" s="32"/>
      <c r="D59" s="32"/>
      <c r="E59" s="32"/>
      <c r="F59" s="32"/>
      <c r="G59" s="33"/>
      <c r="H59" s="32"/>
      <c r="I59" s="32"/>
    </row>
    <row r="60" spans="1:9" ht="16.5" x14ac:dyDescent="0.25">
      <c r="A60" s="34" t="s">
        <v>68</v>
      </c>
      <c r="B60" s="34"/>
      <c r="C60" s="34"/>
      <c r="D60" s="34"/>
      <c r="E60" s="34"/>
      <c r="F60" s="34"/>
      <c r="G60" s="35">
        <f>+SUM(G49:G59)</f>
        <v>641296000</v>
      </c>
      <c r="H60" s="34"/>
      <c r="I60" s="34"/>
    </row>
  </sheetData>
  <mergeCells count="6">
    <mergeCell ref="A1:I1"/>
    <mergeCell ref="A44:A45"/>
    <mergeCell ref="B44:B45"/>
    <mergeCell ref="F44:F45"/>
    <mergeCell ref="G44:G45"/>
    <mergeCell ref="H44:H45"/>
  </mergeCells>
  <pageMargins left="0.7" right="0.7" top="0.75" bottom="0.75" header="0.3" footer="0.3"/>
  <pageSetup paperSize="9" scale="6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2026-05-22T07:39:36Z</dcterms:created>
  <dcterms:modified xsi:type="dcterms:W3CDTF">2026-05-22T07:41:24Z</dcterms:modified>
</cp:coreProperties>
</file>