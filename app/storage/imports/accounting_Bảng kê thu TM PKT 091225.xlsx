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9-12\"/>
    </mc:Choice>
  </mc:AlternateContent>
  <xr:revisionPtr revIDLastSave="0" documentId="13_ncr:1_{9EAD02EC-CB31-4CD5-BDE3-9F2A1AF5A153}" xr6:coauthVersionLast="47" xr6:coauthVersionMax="47" xr10:uidLastSave="{00000000-0000-0000-0000-000000000000}"/>
  <bookViews>
    <workbookView xWindow="-120" yWindow="-120" windowWidth="29040" windowHeight="15840" xr2:uid="{76B8350E-9A23-4462-8912-A83A72A7A986}"/>
  </bookViews>
  <sheets>
    <sheet name="9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" i="1"/>
  <c r="G58" i="1" l="1"/>
  <c r="G47" i="1"/>
  <c r="D47" i="1"/>
  <c r="C47" i="1"/>
  <c r="B47" i="1"/>
  <c r="F46" i="1"/>
  <c r="F47" i="1" s="1"/>
  <c r="F45" i="1"/>
  <c r="H45" i="1" s="1"/>
  <c r="H43" i="1"/>
  <c r="F43" i="1"/>
  <c r="F42" i="1"/>
  <c r="H42" i="1" s="1"/>
  <c r="H41" i="1"/>
  <c r="F41" i="1"/>
  <c r="F40" i="1"/>
  <c r="H40" i="1" s="1"/>
  <c r="F39" i="1"/>
  <c r="H39" i="1" s="1"/>
  <c r="F38" i="1"/>
  <c r="H38" i="1" s="1"/>
  <c r="F37" i="1"/>
  <c r="H37" i="1" s="1"/>
  <c r="F36" i="1"/>
  <c r="H36" i="1" s="1"/>
  <c r="H35" i="1"/>
  <c r="F35" i="1"/>
  <c r="F34" i="1"/>
  <c r="H34" i="1" s="1"/>
  <c r="F33" i="1"/>
  <c r="H33" i="1" s="1"/>
  <c r="F32" i="1"/>
  <c r="H32" i="1" s="1"/>
  <c r="F31" i="1"/>
  <c r="H31" i="1" s="1"/>
  <c r="F30" i="1"/>
  <c r="H30" i="1" s="1"/>
  <c r="H29" i="1"/>
  <c r="F29" i="1"/>
  <c r="F28" i="1"/>
  <c r="H28" i="1" s="1"/>
  <c r="F27" i="1"/>
  <c r="H27" i="1" s="1"/>
  <c r="F26" i="1"/>
  <c r="H26" i="1" s="1"/>
  <c r="F25" i="1"/>
  <c r="H25" i="1" s="1"/>
  <c r="F24" i="1"/>
  <c r="H24" i="1" s="1"/>
  <c r="H23" i="1"/>
  <c r="F23" i="1"/>
  <c r="F22" i="1"/>
  <c r="H22" i="1" s="1"/>
  <c r="F21" i="1"/>
  <c r="H21" i="1" s="1"/>
  <c r="F20" i="1"/>
  <c r="H20" i="1" s="1"/>
  <c r="F19" i="1"/>
  <c r="H19" i="1" s="1"/>
  <c r="F18" i="1"/>
  <c r="H18" i="1" s="1"/>
  <c r="H17" i="1"/>
  <c r="F17" i="1"/>
  <c r="F16" i="1"/>
  <c r="H16" i="1" s="1"/>
  <c r="F15" i="1"/>
  <c r="H15" i="1" s="1"/>
  <c r="F14" i="1"/>
  <c r="H14" i="1" s="1"/>
  <c r="F13" i="1"/>
  <c r="H13" i="1" s="1"/>
  <c r="F12" i="1"/>
  <c r="H12" i="1" s="1"/>
  <c r="H11" i="1"/>
  <c r="F11" i="1"/>
  <c r="F10" i="1"/>
  <c r="H10" i="1" s="1"/>
  <c r="F9" i="1"/>
  <c r="H9" i="1" s="1"/>
  <c r="F8" i="1"/>
  <c r="H8" i="1" s="1"/>
  <c r="F7" i="1"/>
  <c r="H7" i="1" s="1"/>
  <c r="F6" i="1"/>
  <c r="H6" i="1" s="1"/>
  <c r="H5" i="1"/>
  <c r="F5" i="1"/>
  <c r="F4" i="1"/>
  <c r="H4" i="1" s="1"/>
  <c r="H47" i="1" l="1"/>
  <c r="H46" i="1"/>
</calcChain>
</file>

<file path=xl/sharedStrings.xml><?xml version="1.0" encoding="utf-8"?>
<sst xmlns="http://schemas.openxmlformats.org/spreadsheetml/2006/main" count="67" uniqueCount="67">
  <si>
    <t>THEO DÕI THU TIỀN NGÀY 09/12/25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</si>
  <si>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</si>
  <si>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</si>
  <si>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</si>
  <si>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</si>
  <si>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</si>
  <si>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</si>
  <si>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</si>
  <si>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</si>
  <si>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</si>
  <si>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10226-BYAM</t>
  </si>
  <si>
    <t>10277-Nguyễn Thị Mai Phương</t>
  </si>
  <si>
    <t>ck 10.500k</t>
  </si>
  <si>
    <t>10286-Phạm Thị Hải</t>
  </si>
  <si>
    <t>10294-Lê Thị Hồng Nhung</t>
  </si>
  <si>
    <t>10300-Nguyễn Thị Ngọc Hậu</t>
  </si>
  <si>
    <t>10309-Phạm Thị Hằng</t>
  </si>
  <si>
    <t>107-Nguyễn Ngọc Nhi</t>
  </si>
  <si>
    <t>130-Nguyễn Viết Phú</t>
  </si>
  <si>
    <t>148-Trương Thị Hồng Yến</t>
  </si>
  <si>
    <t>164-Trần Thị Hồng Phúc</t>
  </si>
  <si>
    <t>169-Đoàn Thị Ánh Nguyệt</t>
  </si>
  <si>
    <t>180-Dương Thị Thùy Trang</t>
  </si>
  <si>
    <t>186-Nguyễn Thị Mỹ Linh</t>
  </si>
  <si>
    <t>196-Nguyễn Thị Kim Oanh</t>
  </si>
  <si>
    <t>219-Lê Thị Thu Hà</t>
  </si>
  <si>
    <t>235-Huỳnh Thị Thúy Hằng</t>
  </si>
  <si>
    <t>239-Trương Thị Mỹ Dung</t>
  </si>
  <si>
    <t>BN khoa Liên chuyên khoa ra viện tạm ứng dư, kế toán đã chi hoàn theo bảng kê</t>
  </si>
  <si>
    <t>252-Nguyễn Thị Thùy Trang</t>
  </si>
  <si>
    <t>Tổ BLVP có 3 ca ra viện tạm ứng dư, kế toán đã chi hoàn</t>
  </si>
  <si>
    <t>298-Vũ Thị Bông</t>
  </si>
  <si>
    <t>300-Trần Thị Thạch Thảo</t>
  </si>
  <si>
    <t>303-Huỳnh Thị Hạnh</t>
  </si>
  <si>
    <t>372-Lê Như Ngọc</t>
  </si>
  <si>
    <t>374-Trương Thị Quỳnh Anh</t>
  </si>
  <si>
    <t>482-Phạm Thị Thu Hương</t>
  </si>
  <si>
    <t>505-Lê Thị Hồng Duyên</t>
  </si>
  <si>
    <t>51-Nguyễn Thị Thảo</t>
  </si>
  <si>
    <t>56-Đinh Thị Thùy Giang</t>
  </si>
  <si>
    <t>601-Nguyễn Danh Tân</t>
  </si>
  <si>
    <t>623-Trần Thị Hoa</t>
  </si>
  <si>
    <t>641-Nguyễn Hải Anh</t>
  </si>
  <si>
    <t>648-Lê Thị Chinh</t>
  </si>
  <si>
    <t>696-Nguyễn Thị Kim Thơ</t>
  </si>
  <si>
    <t>702-Huỳnh Thị Tường Vy</t>
  </si>
  <si>
    <t>BN PK A233 ra viện tạm ứng dư, kế toán đã chi hoàn theo bảng kê</t>
  </si>
  <si>
    <t>710-Hà Thúy Viên</t>
  </si>
  <si>
    <t>723-Nguyễn Thị Thu Trang</t>
  </si>
  <si>
    <t>74-Đoàn Thị Hiếu</t>
  </si>
  <si>
    <t>753-Phạm Hồng Điểm</t>
  </si>
  <si>
    <t>782-Nông Thị Thảo</t>
  </si>
  <si>
    <t>97-Diệp Thị Thùy Trang</t>
  </si>
  <si>
    <t>BN Đặng Thị Cúc khoa HSTC-CĐ ra viện tạm ứng dư 14.017.006, kế toán đã chi hoàn ngày 14/12</t>
  </si>
  <si>
    <t>BN Nguyễn Thị Kiều Trâm khoa HSTC-CĐ ra viện tạm ứng dư 9.280.159, kế toán đã chi hoàn ngày 11/12</t>
  </si>
  <si>
    <t>Huỳnh Thị Tường Vy</t>
  </si>
  <si>
    <t>A223 ngày 08/12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</si>
  <si>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</si>
  <si>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</si>
  <si>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</si>
  <si>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</si>
  <si>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</si>
  <si>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</si>
  <si>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</si>
  <si>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</si>
  <si>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</si>
  <si>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09/12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</si>
</sst>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B725-FEE0-4E84-A518-D360775D7436}">
  <sheetPr>
    <pageSetUpPr fitToPage="1"/>
  </sheetPr>
  <dimension ref="A1:M58"/>
  <sheetViews>
    <sheetView tabSelected="1" topLeftCell="A23" workbookViewId="0">
      <selection activeCell="J43" sqref="J43"/>
    </sheetView>
  </sheetViews>
  <sheetFormatPr defaultRowHeight="15.75" x14ac:dyDescent="0.25"/>
  <cols>
    <col min="1" max="1" width="29.25" style="2" customWidth="1"/>
    <col min="2" max="2" width="15.25" style="2" customWidth="1"/>
    <col min="3" max="5" width="15.25" style="2" hidden="1" customWidth="1"/>
    <col min="6" max="8" width="15.25" style="2" customWidth="1"/>
    <col min="9" max="9" width="36" style="2" customWidth="1"/>
    <col min="10" max="10" width="9" style="2"/>
    <col min="11" max="11" width="14" style="37" bestFit="1" customWidth="1"/>
    <col min="12" max="12" width="12.5" style="37" customWidth="1"/>
    <col min="13" max="13" width="9" style="37"/>
    <col min="14" max="16384" width="9" style="2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x14ac:dyDescent="0.25">
      <c r="A2" s="3"/>
      <c r="B2" s="4"/>
      <c r="C2" s="5"/>
      <c r="D2" s="5"/>
      <c r="E2" s="5"/>
      <c r="F2" s="5"/>
      <c r="G2" s="5"/>
      <c r="H2" s="5"/>
      <c r="I2" s="6"/>
    </row>
    <row r="3" spans="1:12" ht="49.5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12" ht="16.5" x14ac:dyDescent="0.25">
      <c r="A4" s="11" t="s">
        <v>9</v>
      </c>
      <c r="B4" s="12">
        <v>74394223.769999996</v>
      </c>
      <c r="C4" s="13">
        <v>25066382.420000002</v>
      </c>
      <c r="D4" s="13">
        <v>1895504.88</v>
      </c>
      <c r="E4" s="14">
        <v>0</v>
      </c>
      <c r="F4" s="13">
        <f>+C4+D4+E4</f>
        <v>26961887.300000001</v>
      </c>
      <c r="G4" s="15">
        <v>47433000</v>
      </c>
      <c r="H4" s="15">
        <f>+B4-F4-G4</f>
        <v>-663.53000000119209</v>
      </c>
      <c r="I4" s="16"/>
      <c r="K4" s="37">
        <v>26961887.300000001</v>
      </c>
      <c r="L4" s="37">
        <f>F4-K4</f>
        <v>0</v>
      </c>
    </row>
    <row r="5" spans="1:12" ht="16.5" x14ac:dyDescent="0.25">
      <c r="A5" s="11" t="s">
        <v>10</v>
      </c>
      <c r="B5" s="14">
        <v>54956286.93</v>
      </c>
      <c r="C5" s="13">
        <v>0</v>
      </c>
      <c r="D5" s="13">
        <v>44000000</v>
      </c>
      <c r="E5" s="14">
        <v>0</v>
      </c>
      <c r="F5" s="13">
        <f t="shared" ref="F5:F46" si="0">+C5+D5+E5</f>
        <v>44000000</v>
      </c>
      <c r="G5" s="15">
        <v>10956000</v>
      </c>
      <c r="H5" s="15">
        <f t="shared" ref="H5:H46" si="1">+B5-F5-G5</f>
        <v>286.92999999970198</v>
      </c>
      <c r="I5" s="16"/>
      <c r="K5" s="37">
        <v>44000000</v>
      </c>
      <c r="L5" s="37">
        <f t="shared" ref="L5:L46" si="2">F5-K5</f>
        <v>0</v>
      </c>
    </row>
    <row r="6" spans="1:12" ht="16.5" x14ac:dyDescent="0.25">
      <c r="A6" s="11" t="s">
        <v>11</v>
      </c>
      <c r="B6" s="14">
        <v>69883350.370000005</v>
      </c>
      <c r="C6" s="13">
        <v>0</v>
      </c>
      <c r="D6" s="13">
        <v>5804870.3200000003</v>
      </c>
      <c r="E6" s="14">
        <v>0</v>
      </c>
      <c r="F6" s="13">
        <f>+C6+D6+E6+10500000</f>
        <v>16304870.32</v>
      </c>
      <c r="G6" s="15">
        <v>53578000</v>
      </c>
      <c r="H6" s="15">
        <f t="shared" si="1"/>
        <v>480.05000000447035</v>
      </c>
      <c r="I6" s="13"/>
      <c r="J6" s="2" t="s">
        <v>12</v>
      </c>
      <c r="K6" s="37">
        <v>16304870.32</v>
      </c>
      <c r="L6" s="37">
        <f t="shared" si="2"/>
        <v>0</v>
      </c>
    </row>
    <row r="7" spans="1:12" ht="16.5" x14ac:dyDescent="0.25">
      <c r="A7" s="17" t="s">
        <v>13</v>
      </c>
      <c r="B7" s="18">
        <v>14234477.689999999</v>
      </c>
      <c r="C7" s="19">
        <v>1200000</v>
      </c>
      <c r="D7" s="19">
        <v>5941933.2999999998</v>
      </c>
      <c r="E7" s="18">
        <v>0</v>
      </c>
      <c r="F7" s="13">
        <f t="shared" si="0"/>
        <v>7141933.2999999998</v>
      </c>
      <c r="G7" s="20">
        <v>7092000</v>
      </c>
      <c r="H7" s="15">
        <f t="shared" si="1"/>
        <v>544.38999999966472</v>
      </c>
      <c r="I7" s="13"/>
      <c r="K7" s="37">
        <v>7141933.2999999998</v>
      </c>
      <c r="L7" s="37">
        <f t="shared" si="2"/>
        <v>0</v>
      </c>
    </row>
    <row r="8" spans="1:12" ht="16.5" x14ac:dyDescent="0.25">
      <c r="A8" s="11" t="s">
        <v>14</v>
      </c>
      <c r="B8" s="14">
        <v>1450000</v>
      </c>
      <c r="C8" s="13">
        <v>0</v>
      </c>
      <c r="D8" s="13">
        <v>1450000</v>
      </c>
      <c r="E8" s="14">
        <v>0</v>
      </c>
      <c r="F8" s="13">
        <f t="shared" si="0"/>
        <v>1450000</v>
      </c>
      <c r="G8" s="15"/>
      <c r="H8" s="15">
        <f t="shared" si="1"/>
        <v>0</v>
      </c>
      <c r="I8" s="13"/>
      <c r="K8" s="37">
        <v>1450000</v>
      </c>
      <c r="L8" s="37">
        <f t="shared" si="2"/>
        <v>0</v>
      </c>
    </row>
    <row r="9" spans="1:12" ht="16.5" x14ac:dyDescent="0.25">
      <c r="A9" s="11" t="s">
        <v>15</v>
      </c>
      <c r="B9" s="14">
        <v>25974361.149999999</v>
      </c>
      <c r="C9" s="13">
        <v>232000</v>
      </c>
      <c r="D9" s="13">
        <v>4103895.98</v>
      </c>
      <c r="E9" s="14">
        <v>0</v>
      </c>
      <c r="F9" s="13">
        <f t="shared" si="0"/>
        <v>4335895.9800000004</v>
      </c>
      <c r="G9" s="15">
        <v>21638000</v>
      </c>
      <c r="H9" s="15">
        <f t="shared" si="1"/>
        <v>465.16999999806285</v>
      </c>
      <c r="I9" s="16"/>
      <c r="K9" s="37">
        <v>4335895.9800000004</v>
      </c>
      <c r="L9" s="37">
        <f t="shared" si="2"/>
        <v>0</v>
      </c>
    </row>
    <row r="10" spans="1:12" ht="16.5" x14ac:dyDescent="0.25">
      <c r="A10" s="11" t="s">
        <v>16</v>
      </c>
      <c r="B10" s="14">
        <v>24805000</v>
      </c>
      <c r="C10" s="13">
        <v>20425000</v>
      </c>
      <c r="D10" s="13">
        <v>520000</v>
      </c>
      <c r="E10" s="14">
        <v>0</v>
      </c>
      <c r="F10" s="13">
        <f t="shared" si="0"/>
        <v>20945000</v>
      </c>
      <c r="G10" s="15">
        <v>3860000</v>
      </c>
      <c r="H10" s="15">
        <f t="shared" si="1"/>
        <v>0</v>
      </c>
      <c r="I10" s="13"/>
      <c r="K10" s="37">
        <v>20945000</v>
      </c>
      <c r="L10" s="37">
        <f t="shared" si="2"/>
        <v>0</v>
      </c>
    </row>
    <row r="11" spans="1:12" ht="16.5" x14ac:dyDescent="0.25">
      <c r="A11" s="11" t="s">
        <v>17</v>
      </c>
      <c r="B11" s="14">
        <v>1866992.26</v>
      </c>
      <c r="C11" s="13">
        <v>0</v>
      </c>
      <c r="D11" s="13">
        <v>0</v>
      </c>
      <c r="E11" s="14">
        <v>0</v>
      </c>
      <c r="F11" s="13">
        <f t="shared" si="0"/>
        <v>0</v>
      </c>
      <c r="G11" s="15">
        <v>1866000</v>
      </c>
      <c r="H11" s="15">
        <f t="shared" si="1"/>
        <v>992.26000000000931</v>
      </c>
      <c r="I11" s="13"/>
      <c r="K11" s="37">
        <v>0</v>
      </c>
      <c r="L11" s="37">
        <f t="shared" si="2"/>
        <v>0</v>
      </c>
    </row>
    <row r="12" spans="1:12" ht="16.5" hidden="1" x14ac:dyDescent="0.25">
      <c r="A12" s="17" t="s">
        <v>18</v>
      </c>
      <c r="B12" s="18">
        <v>0</v>
      </c>
      <c r="C12" s="19">
        <v>0</v>
      </c>
      <c r="D12" s="19">
        <v>0</v>
      </c>
      <c r="E12" s="18">
        <v>0</v>
      </c>
      <c r="F12" s="13">
        <f t="shared" si="0"/>
        <v>0</v>
      </c>
      <c r="G12" s="20"/>
      <c r="H12" s="15">
        <f t="shared" si="1"/>
        <v>0</v>
      </c>
      <c r="I12" s="13"/>
      <c r="K12" s="37">
        <v>0</v>
      </c>
      <c r="L12" s="37">
        <f t="shared" si="2"/>
        <v>0</v>
      </c>
    </row>
    <row r="13" spans="1:12" ht="16.5" x14ac:dyDescent="0.25">
      <c r="A13" s="11" t="s">
        <v>19</v>
      </c>
      <c r="B13" s="14">
        <v>600000</v>
      </c>
      <c r="C13" s="13">
        <v>0</v>
      </c>
      <c r="D13" s="13">
        <v>600000</v>
      </c>
      <c r="E13" s="14">
        <v>0</v>
      </c>
      <c r="F13" s="13">
        <f t="shared" si="0"/>
        <v>600000</v>
      </c>
      <c r="G13" s="15"/>
      <c r="H13" s="15">
        <f t="shared" si="1"/>
        <v>0</v>
      </c>
      <c r="I13" s="13"/>
      <c r="K13" s="37">
        <v>600000</v>
      </c>
      <c r="L13" s="37">
        <f t="shared" si="2"/>
        <v>0</v>
      </c>
    </row>
    <row r="14" spans="1:12" ht="16.5" x14ac:dyDescent="0.25">
      <c r="A14" s="11" t="s">
        <v>20</v>
      </c>
      <c r="B14" s="14">
        <v>7023317.6600000001</v>
      </c>
      <c r="C14" s="13">
        <v>0</v>
      </c>
      <c r="D14" s="13">
        <v>902233.88</v>
      </c>
      <c r="E14" s="14">
        <v>0</v>
      </c>
      <c r="F14" s="13">
        <f t="shared" si="0"/>
        <v>902233.88</v>
      </c>
      <c r="G14" s="15">
        <v>6121000</v>
      </c>
      <c r="H14" s="15">
        <f t="shared" si="1"/>
        <v>83.78000000026077</v>
      </c>
      <c r="I14" s="16"/>
      <c r="K14" s="37">
        <v>902233.88</v>
      </c>
      <c r="L14" s="37">
        <f t="shared" si="2"/>
        <v>0</v>
      </c>
    </row>
    <row r="15" spans="1:12" ht="16.5" x14ac:dyDescent="0.25">
      <c r="A15" s="11" t="s">
        <v>21</v>
      </c>
      <c r="B15" s="14">
        <v>20651983.449999999</v>
      </c>
      <c r="C15" s="13">
        <v>365760.43</v>
      </c>
      <c r="D15" s="13">
        <v>1504188.31</v>
      </c>
      <c r="E15" s="14">
        <v>0</v>
      </c>
      <c r="F15" s="13">
        <f t="shared" si="0"/>
        <v>1869948.74</v>
      </c>
      <c r="G15" s="15">
        <v>18782000</v>
      </c>
      <c r="H15" s="15">
        <f t="shared" si="1"/>
        <v>34.71000000089407</v>
      </c>
      <c r="I15" s="16"/>
      <c r="K15" s="37">
        <v>1808009.88</v>
      </c>
      <c r="L15" s="37">
        <f t="shared" si="2"/>
        <v>61938.860000000102</v>
      </c>
    </row>
    <row r="16" spans="1:12" ht="16.5" x14ac:dyDescent="0.25">
      <c r="A16" s="11" t="s">
        <v>22</v>
      </c>
      <c r="B16" s="14">
        <v>9323529.1400000006</v>
      </c>
      <c r="C16" s="13">
        <v>0</v>
      </c>
      <c r="D16" s="13">
        <v>2338129.34</v>
      </c>
      <c r="E16" s="14">
        <v>0</v>
      </c>
      <c r="F16" s="13">
        <f t="shared" si="0"/>
        <v>2338129.34</v>
      </c>
      <c r="G16" s="15">
        <v>6985000</v>
      </c>
      <c r="H16" s="15">
        <f t="shared" si="1"/>
        <v>399.80000000074506</v>
      </c>
      <c r="I16" s="16"/>
      <c r="K16" s="37">
        <v>2338129.34</v>
      </c>
      <c r="L16" s="37">
        <f t="shared" si="2"/>
        <v>0</v>
      </c>
    </row>
    <row r="17" spans="1:12" ht="16.5" x14ac:dyDescent="0.25">
      <c r="A17" s="11" t="s">
        <v>23</v>
      </c>
      <c r="B17" s="14">
        <v>73044597.159999996</v>
      </c>
      <c r="C17" s="13">
        <v>0</v>
      </c>
      <c r="D17" s="13">
        <v>53008946.909999996</v>
      </c>
      <c r="E17" s="14">
        <v>0</v>
      </c>
      <c r="F17" s="13">
        <f t="shared" si="0"/>
        <v>53008946.909999996</v>
      </c>
      <c r="G17" s="15">
        <v>20035000</v>
      </c>
      <c r="H17" s="15">
        <f t="shared" si="1"/>
        <v>650.25</v>
      </c>
      <c r="I17" s="13"/>
      <c r="K17" s="37">
        <v>53008946.909999996</v>
      </c>
      <c r="L17" s="37">
        <f t="shared" si="2"/>
        <v>0</v>
      </c>
    </row>
    <row r="18" spans="1:12" ht="16.5" x14ac:dyDescent="0.25">
      <c r="A18" s="11" t="s">
        <v>24</v>
      </c>
      <c r="B18" s="14">
        <v>53149641.649999999</v>
      </c>
      <c r="C18" s="13">
        <v>8000000</v>
      </c>
      <c r="D18" s="13">
        <v>6000000</v>
      </c>
      <c r="E18" s="14">
        <v>6000000</v>
      </c>
      <c r="F18" s="13">
        <f t="shared" si="0"/>
        <v>20000000</v>
      </c>
      <c r="G18" s="15">
        <v>33149000</v>
      </c>
      <c r="H18" s="15">
        <f t="shared" si="1"/>
        <v>641.64999999850988</v>
      </c>
      <c r="I18" s="16"/>
      <c r="K18" s="37">
        <v>20000000</v>
      </c>
      <c r="L18" s="37">
        <f t="shared" si="2"/>
        <v>0</v>
      </c>
    </row>
    <row r="19" spans="1:12" ht="16.5" x14ac:dyDescent="0.25">
      <c r="A19" s="11" t="s">
        <v>25</v>
      </c>
      <c r="B19" s="14">
        <v>5214681.97</v>
      </c>
      <c r="C19" s="13">
        <v>0</v>
      </c>
      <c r="D19" s="13">
        <v>0</v>
      </c>
      <c r="E19" s="14">
        <v>0</v>
      </c>
      <c r="F19" s="13">
        <f t="shared" si="0"/>
        <v>0</v>
      </c>
      <c r="G19" s="15">
        <v>5214000</v>
      </c>
      <c r="H19" s="15">
        <f t="shared" si="1"/>
        <v>681.96999999973923</v>
      </c>
      <c r="I19" s="16"/>
      <c r="K19" s="37">
        <v>0</v>
      </c>
      <c r="L19" s="37">
        <f t="shared" si="2"/>
        <v>0</v>
      </c>
    </row>
    <row r="20" spans="1:12" ht="16.5" x14ac:dyDescent="0.25">
      <c r="A20" s="11" t="s">
        <v>26</v>
      </c>
      <c r="B20" s="14">
        <v>70667147.879999995</v>
      </c>
      <c r="C20" s="13">
        <v>9104335.0600000005</v>
      </c>
      <c r="D20" s="13">
        <v>6000000</v>
      </c>
      <c r="E20" s="14">
        <v>0</v>
      </c>
      <c r="F20" s="13">
        <f t="shared" si="0"/>
        <v>15104335.060000001</v>
      </c>
      <c r="G20" s="15">
        <v>55562000</v>
      </c>
      <c r="H20" s="15">
        <f t="shared" si="1"/>
        <v>812.81999999284744</v>
      </c>
      <c r="I20" s="16"/>
      <c r="K20" s="37">
        <v>12104335.059999999</v>
      </c>
      <c r="L20" s="37">
        <f t="shared" si="2"/>
        <v>3000000.0000000019</v>
      </c>
    </row>
    <row r="21" spans="1:12" ht="33" x14ac:dyDescent="0.25">
      <c r="A21" s="11" t="s">
        <v>27</v>
      </c>
      <c r="B21" s="14">
        <v>4205495.62</v>
      </c>
      <c r="C21" s="13">
        <v>0</v>
      </c>
      <c r="D21" s="13">
        <v>5000000</v>
      </c>
      <c r="E21" s="14">
        <v>0</v>
      </c>
      <c r="F21" s="13">
        <f t="shared" si="0"/>
        <v>5000000</v>
      </c>
      <c r="G21" s="15"/>
      <c r="H21" s="15">
        <f t="shared" si="1"/>
        <v>-794504.37999999989</v>
      </c>
      <c r="I21" s="13" t="s">
        <v>28</v>
      </c>
      <c r="K21" s="37">
        <v>5000000</v>
      </c>
      <c r="L21" s="37">
        <f t="shared" si="2"/>
        <v>0</v>
      </c>
    </row>
    <row r="22" spans="1:12" ht="33" x14ac:dyDescent="0.25">
      <c r="A22" s="17" t="s">
        <v>29</v>
      </c>
      <c r="B22" s="18">
        <v>-3061456.71</v>
      </c>
      <c r="C22" s="19">
        <v>0</v>
      </c>
      <c r="D22" s="19">
        <v>2255136</v>
      </c>
      <c r="E22" s="18">
        <v>0</v>
      </c>
      <c r="F22" s="13">
        <f t="shared" si="0"/>
        <v>2255136</v>
      </c>
      <c r="G22" s="20"/>
      <c r="H22" s="15">
        <f t="shared" si="1"/>
        <v>-5316592.71</v>
      </c>
      <c r="I22" s="13" t="s">
        <v>30</v>
      </c>
      <c r="K22" s="37">
        <v>2255136</v>
      </c>
      <c r="L22" s="37">
        <f t="shared" si="2"/>
        <v>0</v>
      </c>
    </row>
    <row r="23" spans="1:12" ht="16.5" x14ac:dyDescent="0.25">
      <c r="A23" s="11" t="s">
        <v>31</v>
      </c>
      <c r="B23" s="14">
        <v>5896000</v>
      </c>
      <c r="C23" s="13">
        <v>1984000</v>
      </c>
      <c r="D23" s="13">
        <v>58000</v>
      </c>
      <c r="E23" s="14">
        <v>0</v>
      </c>
      <c r="F23" s="13">
        <f t="shared" si="0"/>
        <v>2042000</v>
      </c>
      <c r="G23" s="15">
        <v>3854000</v>
      </c>
      <c r="H23" s="15">
        <f t="shared" si="1"/>
        <v>0</v>
      </c>
      <c r="I23" s="13"/>
      <c r="K23" s="37">
        <v>2042000</v>
      </c>
      <c r="L23" s="37">
        <f t="shared" si="2"/>
        <v>0</v>
      </c>
    </row>
    <row r="24" spans="1:12" ht="16.5" x14ac:dyDescent="0.25">
      <c r="A24" s="11" t="s">
        <v>32</v>
      </c>
      <c r="B24" s="14">
        <v>2000000</v>
      </c>
      <c r="C24" s="13">
        <v>0</v>
      </c>
      <c r="D24" s="13">
        <v>2000000</v>
      </c>
      <c r="E24" s="14">
        <v>0</v>
      </c>
      <c r="F24" s="13">
        <f t="shared" si="0"/>
        <v>2000000</v>
      </c>
      <c r="G24" s="15"/>
      <c r="H24" s="15">
        <f t="shared" si="1"/>
        <v>0</v>
      </c>
      <c r="I24" s="16"/>
      <c r="K24" s="37">
        <v>2000000</v>
      </c>
      <c r="L24" s="37">
        <f t="shared" si="2"/>
        <v>0</v>
      </c>
    </row>
    <row r="25" spans="1:12" ht="16.5" x14ac:dyDescent="0.25">
      <c r="A25" s="11" t="s">
        <v>33</v>
      </c>
      <c r="B25" s="14">
        <v>17033131.02</v>
      </c>
      <c r="C25" s="13">
        <v>1130000</v>
      </c>
      <c r="D25" s="13">
        <v>2502329.14</v>
      </c>
      <c r="E25" s="14">
        <v>0</v>
      </c>
      <c r="F25" s="13">
        <f t="shared" si="0"/>
        <v>3632329.14</v>
      </c>
      <c r="G25" s="15">
        <v>13400000</v>
      </c>
      <c r="H25" s="15">
        <f t="shared" si="1"/>
        <v>801.87999999895692</v>
      </c>
      <c r="I25" s="13"/>
      <c r="K25" s="37">
        <v>3632329.14</v>
      </c>
      <c r="L25" s="37">
        <f t="shared" si="2"/>
        <v>0</v>
      </c>
    </row>
    <row r="26" spans="1:12" ht="16.5" x14ac:dyDescent="0.25">
      <c r="A26" s="17" t="s">
        <v>34</v>
      </c>
      <c r="B26" s="18">
        <v>25000000</v>
      </c>
      <c r="C26" s="19">
        <v>0</v>
      </c>
      <c r="D26" s="19">
        <v>10000000</v>
      </c>
      <c r="E26" s="18">
        <v>0</v>
      </c>
      <c r="F26" s="13">
        <f t="shared" si="0"/>
        <v>10000000</v>
      </c>
      <c r="G26" s="20">
        <v>15000000</v>
      </c>
      <c r="H26" s="15">
        <f t="shared" si="1"/>
        <v>0</v>
      </c>
      <c r="I26" s="13"/>
      <c r="K26" s="37">
        <v>10000000</v>
      </c>
      <c r="L26" s="37">
        <f t="shared" si="2"/>
        <v>0</v>
      </c>
    </row>
    <row r="27" spans="1:12" ht="16.5" x14ac:dyDescent="0.25">
      <c r="A27" s="11" t="s">
        <v>35</v>
      </c>
      <c r="B27" s="14">
        <v>0</v>
      </c>
      <c r="C27" s="13">
        <v>0</v>
      </c>
      <c r="D27" s="13">
        <v>0</v>
      </c>
      <c r="E27" s="14">
        <v>0</v>
      </c>
      <c r="F27" s="13">
        <f t="shared" si="0"/>
        <v>0</v>
      </c>
      <c r="G27" s="15"/>
      <c r="H27" s="15">
        <f t="shared" si="1"/>
        <v>0</v>
      </c>
      <c r="I27" s="13"/>
      <c r="K27" s="37">
        <v>0</v>
      </c>
      <c r="L27" s="37">
        <f t="shared" si="2"/>
        <v>0</v>
      </c>
    </row>
    <row r="28" spans="1:12" ht="16.5" x14ac:dyDescent="0.25">
      <c r="A28" s="11" t="s">
        <v>36</v>
      </c>
      <c r="B28" s="14">
        <v>30370127.239999998</v>
      </c>
      <c r="C28" s="13">
        <v>1000000</v>
      </c>
      <c r="D28" s="13">
        <v>5882252.6399999997</v>
      </c>
      <c r="E28" s="14">
        <v>0</v>
      </c>
      <c r="F28" s="13">
        <f t="shared" si="0"/>
        <v>6882252.6399999997</v>
      </c>
      <c r="G28" s="15">
        <v>23487000</v>
      </c>
      <c r="H28" s="15">
        <f t="shared" si="1"/>
        <v>874.59999999776483</v>
      </c>
      <c r="I28" s="16"/>
      <c r="K28" s="37">
        <v>6882252.6399999997</v>
      </c>
      <c r="L28" s="37">
        <f t="shared" si="2"/>
        <v>0</v>
      </c>
    </row>
    <row r="29" spans="1:12" ht="16.5" x14ac:dyDescent="0.25">
      <c r="A29" s="11" t="s">
        <v>37</v>
      </c>
      <c r="B29" s="14">
        <v>8210840.5099999998</v>
      </c>
      <c r="C29" s="13">
        <v>0</v>
      </c>
      <c r="D29" s="13">
        <v>2393166.14</v>
      </c>
      <c r="E29" s="14">
        <v>0</v>
      </c>
      <c r="F29" s="13">
        <f t="shared" si="0"/>
        <v>2393166.14</v>
      </c>
      <c r="G29" s="15">
        <v>5817000</v>
      </c>
      <c r="H29" s="15">
        <f t="shared" si="1"/>
        <v>674.36999999918044</v>
      </c>
      <c r="I29" s="13"/>
      <c r="K29" s="37">
        <v>2393166.14</v>
      </c>
      <c r="L29" s="37">
        <f t="shared" si="2"/>
        <v>0</v>
      </c>
    </row>
    <row r="30" spans="1:12" ht="16.5" x14ac:dyDescent="0.25">
      <c r="A30" s="11" t="s">
        <v>38</v>
      </c>
      <c r="B30" s="14">
        <v>64235089.909999996</v>
      </c>
      <c r="C30" s="13">
        <v>0</v>
      </c>
      <c r="D30" s="13">
        <v>28573469.039999999</v>
      </c>
      <c r="E30" s="14">
        <v>0</v>
      </c>
      <c r="F30" s="13">
        <f t="shared" si="0"/>
        <v>28573469.039999999</v>
      </c>
      <c r="G30" s="15">
        <v>35661000</v>
      </c>
      <c r="H30" s="15">
        <f t="shared" si="1"/>
        <v>620.86999999731779</v>
      </c>
      <c r="I30" s="13"/>
      <c r="K30" s="37">
        <v>28573469.039999999</v>
      </c>
      <c r="L30" s="37">
        <f t="shared" si="2"/>
        <v>0</v>
      </c>
    </row>
    <row r="31" spans="1:12" ht="16.5" x14ac:dyDescent="0.25">
      <c r="A31" s="17" t="s">
        <v>39</v>
      </c>
      <c r="B31" s="18">
        <v>2000000</v>
      </c>
      <c r="C31" s="19">
        <v>0</v>
      </c>
      <c r="D31" s="19">
        <v>0</v>
      </c>
      <c r="E31" s="18">
        <v>0</v>
      </c>
      <c r="F31" s="13">
        <f t="shared" si="0"/>
        <v>0</v>
      </c>
      <c r="G31" s="20">
        <v>2000000</v>
      </c>
      <c r="H31" s="15">
        <f t="shared" si="1"/>
        <v>0</v>
      </c>
      <c r="I31" s="13"/>
      <c r="K31" s="37">
        <v>0</v>
      </c>
      <c r="L31" s="37">
        <f t="shared" si="2"/>
        <v>0</v>
      </c>
    </row>
    <row r="32" spans="1:12" ht="16.5" hidden="1" x14ac:dyDescent="0.25">
      <c r="A32" s="11" t="s">
        <v>40</v>
      </c>
      <c r="B32" s="14">
        <v>0</v>
      </c>
      <c r="C32" s="13">
        <v>0</v>
      </c>
      <c r="D32" s="13">
        <v>0</v>
      </c>
      <c r="E32" s="14">
        <v>0</v>
      </c>
      <c r="F32" s="13">
        <f t="shared" si="0"/>
        <v>0</v>
      </c>
      <c r="G32" s="15"/>
      <c r="H32" s="15">
        <f t="shared" si="1"/>
        <v>0</v>
      </c>
      <c r="I32" s="13"/>
      <c r="K32" s="37">
        <v>0</v>
      </c>
      <c r="L32" s="37">
        <f t="shared" si="2"/>
        <v>0</v>
      </c>
    </row>
    <row r="33" spans="1:12" ht="16.5" x14ac:dyDescent="0.25">
      <c r="A33" s="11" t="s">
        <v>41</v>
      </c>
      <c r="B33" s="14">
        <v>6101689.9000000004</v>
      </c>
      <c r="C33" s="13">
        <v>0</v>
      </c>
      <c r="D33" s="13">
        <v>2790893.8</v>
      </c>
      <c r="E33" s="14">
        <v>0</v>
      </c>
      <c r="F33" s="13">
        <f t="shared" si="0"/>
        <v>2790893.8</v>
      </c>
      <c r="G33" s="15">
        <v>3310000</v>
      </c>
      <c r="H33" s="15">
        <f t="shared" si="1"/>
        <v>796.10000000055879</v>
      </c>
      <c r="I33" s="13"/>
      <c r="K33" s="37">
        <v>2790893.8</v>
      </c>
      <c r="L33" s="37">
        <f t="shared" si="2"/>
        <v>0</v>
      </c>
    </row>
    <row r="34" spans="1:12" ht="16.5" x14ac:dyDescent="0.25">
      <c r="A34" s="17" t="s">
        <v>42</v>
      </c>
      <c r="B34" s="18">
        <v>27292404.960000001</v>
      </c>
      <c r="C34" s="19">
        <v>0</v>
      </c>
      <c r="D34" s="19">
        <v>2600000</v>
      </c>
      <c r="E34" s="18">
        <v>0</v>
      </c>
      <c r="F34" s="13">
        <f t="shared" si="0"/>
        <v>2600000</v>
      </c>
      <c r="G34" s="20">
        <v>24692000</v>
      </c>
      <c r="H34" s="15">
        <f t="shared" si="1"/>
        <v>404.96000000089407</v>
      </c>
      <c r="I34" s="13"/>
      <c r="K34" s="37">
        <v>2600000</v>
      </c>
      <c r="L34" s="37">
        <f t="shared" si="2"/>
        <v>0</v>
      </c>
    </row>
    <row r="35" spans="1:12" ht="16.5" x14ac:dyDescent="0.25">
      <c r="A35" s="11" t="s">
        <v>43</v>
      </c>
      <c r="B35" s="14">
        <v>17781635.079999998</v>
      </c>
      <c r="C35" s="13">
        <v>1298228.08</v>
      </c>
      <c r="D35" s="13">
        <v>4227322</v>
      </c>
      <c r="E35" s="14">
        <v>324000</v>
      </c>
      <c r="F35" s="13">
        <f t="shared" si="0"/>
        <v>5849550.0800000001</v>
      </c>
      <c r="G35" s="15">
        <v>11932000</v>
      </c>
      <c r="H35" s="15">
        <f t="shared" si="1"/>
        <v>84.999999998137355</v>
      </c>
      <c r="I35" s="13"/>
      <c r="K35" s="37">
        <v>5849550.0800000001</v>
      </c>
      <c r="L35" s="37">
        <f t="shared" si="2"/>
        <v>0</v>
      </c>
    </row>
    <row r="36" spans="1:12" ht="16.5" x14ac:dyDescent="0.25">
      <c r="A36" s="11" t="s">
        <v>44</v>
      </c>
      <c r="B36" s="14">
        <v>24520250.170000002</v>
      </c>
      <c r="C36" s="13">
        <v>1600000</v>
      </c>
      <c r="D36" s="13">
        <v>4786450.04</v>
      </c>
      <c r="E36" s="14">
        <v>0</v>
      </c>
      <c r="F36" s="13">
        <f t="shared" si="0"/>
        <v>6386450.04</v>
      </c>
      <c r="G36" s="21">
        <v>18134000</v>
      </c>
      <c r="H36" s="15">
        <f t="shared" si="1"/>
        <v>-199.86999999731779</v>
      </c>
      <c r="I36" s="16"/>
      <c r="K36" s="37">
        <v>6386450.04</v>
      </c>
      <c r="L36" s="37">
        <f t="shared" si="2"/>
        <v>0</v>
      </c>
    </row>
    <row r="37" spans="1:12" ht="33" x14ac:dyDescent="0.25">
      <c r="A37" s="11" t="s">
        <v>45</v>
      </c>
      <c r="B37" s="14">
        <v>8123664.46</v>
      </c>
      <c r="C37" s="13">
        <v>7600000</v>
      </c>
      <c r="D37" s="13">
        <v>2000000</v>
      </c>
      <c r="E37" s="14">
        <v>0</v>
      </c>
      <c r="F37" s="13">
        <f t="shared" si="0"/>
        <v>9600000</v>
      </c>
      <c r="G37" s="15"/>
      <c r="H37" s="15">
        <f t="shared" si="1"/>
        <v>-1476335.54</v>
      </c>
      <c r="I37" s="13" t="s">
        <v>46</v>
      </c>
      <c r="K37" s="37">
        <v>9600000</v>
      </c>
      <c r="L37" s="37">
        <f t="shared" si="2"/>
        <v>0</v>
      </c>
    </row>
    <row r="38" spans="1:12" ht="16.5" x14ac:dyDescent="0.25">
      <c r="A38" s="11" t="s">
        <v>47</v>
      </c>
      <c r="B38" s="14">
        <v>23706017.530000001</v>
      </c>
      <c r="C38" s="13">
        <v>0</v>
      </c>
      <c r="D38" s="13">
        <v>7964283.8399999999</v>
      </c>
      <c r="E38" s="14">
        <v>0</v>
      </c>
      <c r="F38" s="13">
        <f t="shared" si="0"/>
        <v>7964283.8399999999</v>
      </c>
      <c r="G38" s="15">
        <v>15741000</v>
      </c>
      <c r="H38" s="15">
        <f t="shared" si="1"/>
        <v>733.6900000013411</v>
      </c>
      <c r="I38" s="13"/>
      <c r="K38" s="37">
        <v>7964283.8399999999</v>
      </c>
      <c r="L38" s="37">
        <f t="shared" si="2"/>
        <v>0</v>
      </c>
    </row>
    <row r="39" spans="1:12" ht="16.5" x14ac:dyDescent="0.25">
      <c r="A39" s="11" t="s">
        <v>48</v>
      </c>
      <c r="B39" s="14">
        <v>10956787.01</v>
      </c>
      <c r="C39" s="13">
        <v>0</v>
      </c>
      <c r="D39" s="13">
        <v>3009965.23</v>
      </c>
      <c r="E39" s="14">
        <v>0</v>
      </c>
      <c r="F39" s="13">
        <f t="shared" si="0"/>
        <v>3009965.23</v>
      </c>
      <c r="G39" s="15">
        <v>7947000</v>
      </c>
      <c r="H39" s="15">
        <f t="shared" si="1"/>
        <v>-178.22000000067055</v>
      </c>
      <c r="I39" s="13"/>
      <c r="K39" s="37">
        <v>3009965.23</v>
      </c>
      <c r="L39" s="37">
        <f t="shared" si="2"/>
        <v>0</v>
      </c>
    </row>
    <row r="40" spans="1:12" ht="16.5" x14ac:dyDescent="0.25">
      <c r="A40" s="17" t="s">
        <v>49</v>
      </c>
      <c r="B40" s="18">
        <v>7002735.3700000001</v>
      </c>
      <c r="C40" s="19">
        <v>0</v>
      </c>
      <c r="D40" s="19">
        <v>1469941.2</v>
      </c>
      <c r="E40" s="18">
        <v>0</v>
      </c>
      <c r="F40" s="13">
        <f t="shared" si="0"/>
        <v>1469941.2</v>
      </c>
      <c r="G40" s="20">
        <v>5532000</v>
      </c>
      <c r="H40" s="15">
        <f t="shared" si="1"/>
        <v>794.16999999992549</v>
      </c>
      <c r="I40" s="13"/>
      <c r="K40" s="37">
        <v>1469941.2</v>
      </c>
      <c r="L40" s="37">
        <f t="shared" si="2"/>
        <v>0</v>
      </c>
    </row>
    <row r="41" spans="1:12" ht="16.5" x14ac:dyDescent="0.25">
      <c r="A41" s="11" t="s">
        <v>50</v>
      </c>
      <c r="B41" s="14">
        <v>6830600</v>
      </c>
      <c r="C41" s="13">
        <v>0</v>
      </c>
      <c r="D41" s="13">
        <v>561000</v>
      </c>
      <c r="E41" s="14">
        <v>0</v>
      </c>
      <c r="F41" s="13">
        <f t="shared" si="0"/>
        <v>561000</v>
      </c>
      <c r="G41" s="15">
        <v>6270000</v>
      </c>
      <c r="H41" s="15">
        <f t="shared" si="1"/>
        <v>-400</v>
      </c>
      <c r="I41" s="13"/>
      <c r="K41" s="37">
        <v>561000</v>
      </c>
      <c r="L41" s="37">
        <f t="shared" si="2"/>
        <v>0</v>
      </c>
    </row>
    <row r="42" spans="1:12" ht="16.5" x14ac:dyDescent="0.25">
      <c r="A42" s="11" t="s">
        <v>51</v>
      </c>
      <c r="B42" s="14">
        <v>43672385.689999998</v>
      </c>
      <c r="C42" s="13">
        <v>0</v>
      </c>
      <c r="D42" s="13">
        <v>13995693</v>
      </c>
      <c r="E42" s="14">
        <v>0</v>
      </c>
      <c r="F42" s="13">
        <f t="shared" si="0"/>
        <v>13995693</v>
      </c>
      <c r="G42" s="15">
        <v>29676000</v>
      </c>
      <c r="H42" s="15">
        <f t="shared" si="1"/>
        <v>692.68999999761581</v>
      </c>
      <c r="I42" s="16"/>
      <c r="K42" s="37">
        <v>13995693</v>
      </c>
      <c r="L42" s="37">
        <f t="shared" si="2"/>
        <v>0</v>
      </c>
    </row>
    <row r="43" spans="1:12" ht="49.5" x14ac:dyDescent="0.25">
      <c r="A43" s="22" t="s">
        <v>52</v>
      </c>
      <c r="B43" s="23">
        <v>42709545.82</v>
      </c>
      <c r="C43" s="13">
        <v>0</v>
      </c>
      <c r="D43" s="13">
        <v>0</v>
      </c>
      <c r="E43" s="14">
        <v>0</v>
      </c>
      <c r="F43" s="24">
        <f t="shared" si="0"/>
        <v>0</v>
      </c>
      <c r="G43" s="25">
        <v>66006000</v>
      </c>
      <c r="H43" s="25">
        <f t="shared" si="1"/>
        <v>-23296454.18</v>
      </c>
      <c r="I43" s="13" t="s">
        <v>53</v>
      </c>
      <c r="K43" s="37">
        <v>-9280159.2100000009</v>
      </c>
      <c r="L43" s="37">
        <f t="shared" si="2"/>
        <v>9280159.2100000009</v>
      </c>
    </row>
    <row r="44" spans="1:12" ht="49.5" x14ac:dyDescent="0.25">
      <c r="A44" s="26"/>
      <c r="B44" s="27"/>
      <c r="C44" s="13"/>
      <c r="D44" s="13"/>
      <c r="E44" s="14"/>
      <c r="F44" s="28"/>
      <c r="G44" s="29"/>
      <c r="H44" s="29"/>
      <c r="I44" s="13" t="s">
        <v>54</v>
      </c>
      <c r="L44" s="37">
        <f t="shared" si="2"/>
        <v>0</v>
      </c>
    </row>
    <row r="45" spans="1:12" ht="16.5" x14ac:dyDescent="0.25">
      <c r="A45" s="11" t="s">
        <v>55</v>
      </c>
      <c r="B45" s="14"/>
      <c r="C45" s="13"/>
      <c r="D45" s="13"/>
      <c r="E45" s="14"/>
      <c r="F45" s="13">
        <f t="shared" si="0"/>
        <v>0</v>
      </c>
      <c r="G45" s="15">
        <v>83663000</v>
      </c>
      <c r="H45" s="15">
        <f t="shared" si="1"/>
        <v>-83663000</v>
      </c>
      <c r="I45" s="13" t="s">
        <v>56</v>
      </c>
      <c r="L45" s="37">
        <f t="shared" si="2"/>
        <v>0</v>
      </c>
    </row>
    <row r="46" spans="1:12" ht="16.5" hidden="1" x14ac:dyDescent="0.25">
      <c r="A46" s="11"/>
      <c r="B46" s="14"/>
      <c r="C46" s="13"/>
      <c r="D46" s="13"/>
      <c r="E46" s="13"/>
      <c r="F46" s="13">
        <f t="shared" si="0"/>
        <v>0</v>
      </c>
      <c r="G46" s="15"/>
      <c r="H46" s="15">
        <f t="shared" si="1"/>
        <v>0</v>
      </c>
      <c r="I46" s="13"/>
      <c r="L46" s="37">
        <f t="shared" si="2"/>
        <v>0</v>
      </c>
    </row>
    <row r="47" spans="1:12" ht="16.5" x14ac:dyDescent="0.25">
      <c r="A47" s="30" t="s">
        <v>57</v>
      </c>
      <c r="B47" s="31">
        <f>+SUM(B4:B46)</f>
        <v>881826534.65999997</v>
      </c>
      <c r="C47" s="31">
        <f>+SUM(C4:C46)</f>
        <v>79005705.989999995</v>
      </c>
      <c r="D47" s="31">
        <f>+SUM(D4:D46)</f>
        <v>236139604.98999995</v>
      </c>
      <c r="E47" s="31"/>
      <c r="F47" s="31">
        <f>+SUM(F4:F46)</f>
        <v>331969310.97999996</v>
      </c>
      <c r="G47" s="31">
        <f>+SUM(G4:G46)</f>
        <v>664393000</v>
      </c>
      <c r="H47" s="32">
        <f>+SUM(H4:H46)</f>
        <v>-114535776.32000001</v>
      </c>
      <c r="I47" s="30"/>
    </row>
    <row r="48" spans="1:12" ht="16.5" x14ac:dyDescent="0.25">
      <c r="A48" s="33"/>
      <c r="B48" s="33"/>
      <c r="C48" s="33"/>
      <c r="D48" s="33"/>
      <c r="E48" s="33"/>
      <c r="F48" s="33"/>
      <c r="G48" s="34"/>
      <c r="H48" s="33"/>
      <c r="I48" s="33"/>
    </row>
    <row r="49" spans="1:9" ht="16.5" x14ac:dyDescent="0.25">
      <c r="A49" s="33" t="s">
        <v>58</v>
      </c>
      <c r="B49" s="33"/>
      <c r="C49" s="33"/>
      <c r="D49" s="33"/>
      <c r="E49" s="33"/>
      <c r="F49" s="33"/>
      <c r="G49" s="34">
        <v>29709000</v>
      </c>
      <c r="H49" s="33"/>
      <c r="I49" s="33"/>
    </row>
    <row r="50" spans="1:9" ht="16.5" x14ac:dyDescent="0.25">
      <c r="A50" s="33" t="s">
        <v>59</v>
      </c>
      <c r="B50" s="33"/>
      <c r="C50" s="33"/>
      <c r="D50" s="33"/>
      <c r="E50" s="33"/>
      <c r="F50" s="33"/>
      <c r="G50" s="34">
        <v>20702000</v>
      </c>
      <c r="H50" s="33"/>
      <c r="I50" s="33"/>
    </row>
    <row r="51" spans="1:9" ht="16.5" x14ac:dyDescent="0.25">
      <c r="A51" s="33" t="s">
        <v>60</v>
      </c>
      <c r="B51" s="33"/>
      <c r="C51" s="33"/>
      <c r="D51" s="33"/>
      <c r="E51" s="33"/>
      <c r="F51" s="33"/>
      <c r="G51" s="34">
        <v>4030000</v>
      </c>
      <c r="H51" s="33"/>
      <c r="I51" s="33"/>
    </row>
    <row r="52" spans="1:9" ht="16.5" x14ac:dyDescent="0.25">
      <c r="A52" s="33" t="s">
        <v>61</v>
      </c>
      <c r="B52" s="33"/>
      <c r="C52" s="33"/>
      <c r="D52" s="33"/>
      <c r="E52" s="33"/>
      <c r="F52" s="33"/>
      <c r="G52" s="34">
        <v>2095000</v>
      </c>
      <c r="H52" s="33"/>
      <c r="I52" s="33"/>
    </row>
    <row r="53" spans="1:9" ht="16.5" x14ac:dyDescent="0.25">
      <c r="A53" s="33" t="s">
        <v>62</v>
      </c>
      <c r="B53" s="33"/>
      <c r="C53" s="33"/>
      <c r="D53" s="33"/>
      <c r="E53" s="33"/>
      <c r="F53" s="33"/>
      <c r="G53" s="34">
        <v>14645497</v>
      </c>
      <c r="H53" s="33"/>
      <c r="I53" s="33"/>
    </row>
    <row r="54" spans="1:9" ht="16.5" x14ac:dyDescent="0.25">
      <c r="A54" s="33" t="s">
        <v>63</v>
      </c>
      <c r="B54" s="33"/>
      <c r="C54" s="33"/>
      <c r="D54" s="33"/>
      <c r="E54" s="33"/>
      <c r="F54" s="33"/>
      <c r="G54" s="34">
        <v>5859072</v>
      </c>
      <c r="H54" s="33"/>
      <c r="I54" s="33"/>
    </row>
    <row r="55" spans="1:9" ht="16.5" hidden="1" x14ac:dyDescent="0.25">
      <c r="A55" s="33" t="s">
        <v>64</v>
      </c>
      <c r="B55" s="33"/>
      <c r="C55" s="33"/>
      <c r="D55" s="33"/>
      <c r="E55" s="33"/>
      <c r="F55" s="33"/>
      <c r="G55" s="34"/>
      <c r="H55" s="33"/>
      <c r="I55" s="33"/>
    </row>
    <row r="56" spans="1:9" ht="16.5" hidden="1" x14ac:dyDescent="0.25">
      <c r="A56" s="33" t="s">
        <v>65</v>
      </c>
      <c r="B56" s="33"/>
      <c r="C56" s="33"/>
      <c r="D56" s="33"/>
      <c r="E56" s="33"/>
      <c r="F56" s="33"/>
      <c r="G56" s="34"/>
      <c r="H56" s="33"/>
      <c r="I56" s="33"/>
    </row>
    <row r="57" spans="1:9" ht="16.5" x14ac:dyDescent="0.25">
      <c r="A57" s="33"/>
      <c r="B57" s="33"/>
      <c r="C57" s="33"/>
      <c r="D57" s="33"/>
      <c r="E57" s="33"/>
      <c r="F57" s="33"/>
      <c r="G57" s="34"/>
      <c r="H57" s="33"/>
      <c r="I57" s="33"/>
    </row>
    <row r="58" spans="1:9" ht="16.5" x14ac:dyDescent="0.25">
      <c r="A58" s="35" t="s">
        <v>66</v>
      </c>
      <c r="B58" s="35"/>
      <c r="C58" s="35"/>
      <c r="D58" s="35"/>
      <c r="E58" s="35"/>
      <c r="F58" s="35"/>
      <c r="G58" s="36">
        <f>+SUM(G47:G57)</f>
        <v>741433569</v>
      </c>
      <c r="H58" s="35"/>
      <c r="I58" s="35"/>
    </row>
  </sheetData>
  <mergeCells count="6">
    <mergeCell ref="A1:I1"/>
    <mergeCell ref="A43:A44"/>
    <mergeCell ref="B43:B44"/>
    <mergeCell ref="F43:F44"/>
    <mergeCell ref="G43:G44"/>
    <mergeCell ref="H43:H44"/>
  </mergeCells>
  <pageMargins left="0.7" right="0.7" top="0.75" bottom="0.75" header="0.3" footer="0.3"/>
  <pageSetup paperSize="9" scale="6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2026-05-13T04:36:01Z</dcterms:created>
  <dcterms:modified xsi:type="dcterms:W3CDTF">2026-05-13T09:32:28Z</dcterms:modified>
</cp:coreProperties>
</file>