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1. KIỂM SOÁT NỘI BỘ\2. KIỂM TRA THU CHI TIỀN MẶT\Tháng 12.2025\Ngày 13-12\"/>
    </mc:Choice>
  </mc:AlternateContent>
  <xr:revisionPtr revIDLastSave="0" documentId="8_{BB1FE473-8647-4B59-B224-4343ED6CE667}" xr6:coauthVersionLast="47" xr6:coauthVersionMax="47" xr10:uidLastSave="{00000000-0000-0000-0000-000000000000}"/>
  <bookViews>
    <workbookView xWindow="-120" yWindow="-120" windowWidth="29040" windowHeight="15840" xr2:uid="{82EFDC44-0FC3-46D8-AA67-5FCB8E238615}"/>
  </bookViews>
  <sheets>
    <sheet name="13.1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9" i="1" l="1"/>
  <c r="G60" i="1" s="1"/>
  <c r="E49" i="1"/>
  <c r="D49" i="1"/>
  <c r="C49" i="1"/>
  <c r="B49" i="1"/>
  <c r="H48" i="1"/>
  <c r="F48" i="1"/>
  <c r="F47" i="1"/>
  <c r="H47" i="1" s="1"/>
  <c r="F46" i="1"/>
  <c r="H46" i="1" s="1"/>
  <c r="F45" i="1"/>
  <c r="H45" i="1" s="1"/>
  <c r="F44" i="1"/>
  <c r="H44" i="1" s="1"/>
  <c r="F43" i="1"/>
  <c r="H43" i="1" s="1"/>
  <c r="H42" i="1"/>
  <c r="F42" i="1"/>
  <c r="F41" i="1"/>
  <c r="H41" i="1" s="1"/>
  <c r="F40" i="1"/>
  <c r="H40" i="1" s="1"/>
  <c r="F39" i="1"/>
  <c r="H39" i="1" s="1"/>
  <c r="H38" i="1"/>
  <c r="F38" i="1"/>
  <c r="F37" i="1"/>
  <c r="H37" i="1" s="1"/>
  <c r="H36" i="1"/>
  <c r="F36" i="1"/>
  <c r="F35" i="1"/>
  <c r="H35" i="1" s="1"/>
  <c r="F34" i="1"/>
  <c r="H34" i="1" s="1"/>
  <c r="F33" i="1"/>
  <c r="H33" i="1" s="1"/>
  <c r="H32" i="1"/>
  <c r="F32" i="1"/>
  <c r="F31" i="1"/>
  <c r="H31" i="1" s="1"/>
  <c r="H30" i="1"/>
  <c r="F30" i="1"/>
  <c r="F29" i="1"/>
  <c r="H29" i="1" s="1"/>
  <c r="F28" i="1"/>
  <c r="H28" i="1" s="1"/>
  <c r="F27" i="1"/>
  <c r="F49" i="1" s="1"/>
  <c r="H26" i="1"/>
  <c r="G26" i="1"/>
  <c r="F26" i="1"/>
  <c r="F25" i="1"/>
  <c r="H25" i="1" s="1"/>
  <c r="F24" i="1"/>
  <c r="H24" i="1" s="1"/>
  <c r="F23" i="1"/>
  <c r="H23" i="1" s="1"/>
  <c r="F22" i="1"/>
  <c r="H22" i="1" s="1"/>
  <c r="H21" i="1"/>
  <c r="F21" i="1"/>
  <c r="H20" i="1"/>
  <c r="F20" i="1"/>
  <c r="F19" i="1"/>
  <c r="H19" i="1" s="1"/>
  <c r="F18" i="1"/>
  <c r="H18" i="1" s="1"/>
  <c r="F17" i="1"/>
  <c r="H17" i="1" s="1"/>
  <c r="F16" i="1"/>
  <c r="H16" i="1" s="1"/>
  <c r="H15" i="1"/>
  <c r="F15" i="1"/>
  <c r="H14" i="1"/>
  <c r="F14" i="1"/>
  <c r="F13" i="1"/>
  <c r="H13" i="1" s="1"/>
  <c r="F12" i="1"/>
  <c r="H12" i="1" s="1"/>
  <c r="F11" i="1"/>
  <c r="H11" i="1" s="1"/>
  <c r="F10" i="1"/>
  <c r="H10" i="1" s="1"/>
  <c r="H9" i="1"/>
  <c r="F9" i="1"/>
  <c r="H8" i="1"/>
  <c r="F8" i="1"/>
  <c r="F7" i="1"/>
  <c r="H7" i="1" s="1"/>
  <c r="F6" i="1"/>
  <c r="H6" i="1" s="1"/>
  <c r="F5" i="1"/>
  <c r="H5" i="1" s="1"/>
  <c r="F4" i="1"/>
  <c r="H4" i="1" s="1"/>
  <c r="H27" i="1" l="1"/>
  <c r="H49" i="1" s="1"/>
</calcChain>
</file>

<file path=xl/sharedStrings.xml><?xml version="1.0" encoding="utf-8"?>
<sst xmlns="http://schemas.openxmlformats.org/spreadsheetml/2006/main" count="68" uniqueCount="68">
  <si>
    <t>THEO DÕI THU TIỀN NGÀY 13/12/25</t>
  </si>
  <si>
    <t>Tên</t>
  </si>
  <si>
    <t>ML</t>
  </si>
  <si>
    <t>Chuyển khoản theo ML</t>
  </si>
  <si>
    <t>QR động</t>
  </si>
  <si>
    <t>Máy POS</t>
  </si>
  <si>
    <t>Chuyển khoản + QR động + Máy POS</t>
  </si>
  <si>
    <t>Thực thu tiền mặt</t>
  </si>
  <si>
    <t>+/-</t>
  </si>
  <si>
    <t>10277-Nguyễn Thị Mai Phương</t>
  </si>
  <si>
    <t>10285-Trần Thị Thanh Mai</t>
  </si>
  <si>
    <t>Điều dưỡng nộp ngày 14/12, số tiền: 7.629.000</t>
  </si>
  <si>
    <t>10294-Lê Thị Hồng Nhung</t>
  </si>
  <si>
    <t>10300-Nguyễn Thị Ngọc Hậu</t>
  </si>
  <si>
    <t>10309-Phạm Thị Hằng</t>
  </si>
  <si>
    <t>107-Nguyễn Ngọc Nhi</t>
  </si>
  <si>
    <t>123-Lê Thị Thu Hường</t>
  </si>
  <si>
    <t>148-Trương Thị Hồng Yến</t>
  </si>
  <si>
    <t>152-Nguyễn Thị Hồng Nhi</t>
  </si>
  <si>
    <t>163-Thái Thị Huệ</t>
  </si>
  <si>
    <t>164-Trần Thị Hồng Phúc</t>
  </si>
  <si>
    <t>175-Phạm Thị Cẩm Tiên</t>
  </si>
  <si>
    <t>Đã nộp 591.000 tiền thu trong phiếu ngày 12/12</t>
  </si>
  <si>
    <t>239-Trương Thị Mỹ Dung</t>
  </si>
  <si>
    <t>252-Nguyễn Thị Thùy Trang</t>
  </si>
  <si>
    <t>254-Phạm Thị Thúy Quỳnh</t>
  </si>
  <si>
    <t>Điều dưỡng nộp ngày 16/12, số tiền: 6.870.000</t>
  </si>
  <si>
    <t>293-Lê Thị Lệ</t>
  </si>
  <si>
    <t>296-Lê Thị Thiên Lý</t>
  </si>
  <si>
    <t>301-Võ Lê Uyên Thuy</t>
  </si>
  <si>
    <t>303-Huỳnh Thị Hạnh</t>
  </si>
  <si>
    <t>304-Trịnh Thị Thanh Ngân</t>
  </si>
  <si>
    <t>374-Trương Thị Quỳnh Anh</t>
  </si>
  <si>
    <t>482-Phạm Thị Thu Hương</t>
  </si>
  <si>
    <t>483-Nguyễn Thị Thu Trinh</t>
  </si>
  <si>
    <t>505-Lê Thị Hồng Duyên</t>
  </si>
  <si>
    <t>51-Nguyễn Thị Thảo</t>
  </si>
  <si>
    <t>577-Bùi Thị Quỳnh Giang</t>
  </si>
  <si>
    <t>623-Trần Thị Hoa</t>
  </si>
  <si>
    <t>626-Nguyễn Thị Thu Hương</t>
  </si>
  <si>
    <t>636-Nguyễn Thị Quệ</t>
  </si>
  <si>
    <t>638-Nguyễn Thị Ánh Nguyệt</t>
  </si>
  <si>
    <t>641-Nguyễn Hải Anh</t>
  </si>
  <si>
    <t>648-Lê Thị Chinh</t>
  </si>
  <si>
    <t>667-Phan Thị Mỹ Linh</t>
  </si>
  <si>
    <t>702-Huỳnh Thị Tường Vy</t>
  </si>
  <si>
    <t>707-Hoàng Thị Thanh Huyền</t>
  </si>
  <si>
    <t>710-Hà Thúy Viên</t>
  </si>
  <si>
    <t>73-Nguyễn Hoàng Luân</t>
  </si>
  <si>
    <t>74-Đoàn Thị Hiếu</t>
  </si>
  <si>
    <t>782-Nông Thị Thảo</t>
  </si>
  <si>
    <t>81-Nguyễn Vũ Thị Hòa</t>
  </si>
  <si>
    <t>92-Nguyễn Thị Thu Thủy</t>
  </si>
  <si>
    <t>95-Đặng Ngọc Diễm Thy</t>
  </si>
  <si>
    <t>Cầm Thị Dung</t>
  </si>
  <si>
    <t>Sửa HSBA Lê Công Mận khoa HSTC-CĐ</t>
  </si>
  <si>
    <t>Phạm Thị Hằng</t>
  </si>
  <si>
    <t>ĐV KSK - Làng Lang</t>
  </si>
  <si>
    <t>Tổng</t>
  </si>
  <si>
    <t>Tiền thu căntin</t>
  </si>
  <si>
    <t>Tiền thu tiêm chủng</t>
  </si>
  <si>
    <t>Tiền thu da liễu</t>
  </si>
  <si>
    <t>Tiền thu nhà xe</t>
  </si>
  <si>
    <t>Tiền thu siêu thị</t>
  </si>
  <si>
    <t>Tiền thu nhà thuốc</t>
  </si>
  <si>
    <t>Tiền thu HSBA</t>
  </si>
  <si>
    <t>Tiền thu ứng nhân viên</t>
  </si>
  <si>
    <t>TỔNG THU 13/12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</si>
</sst>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_-* #,##0_-;\-* #,##0_-;_-* &quot;-&quot;??_-;_-@_-"/>
    <numFmt numFmtId="166" formatCode="_(* #,##0_);_(* \(#,##0\);_(* &quot;-&quot;??_);_(@_)"/>
  </numFmts>
  <fonts count="7" x14ac:knownFonts="1">
    <font>
      <sz val="11.7"/>
      <color theme="1"/>
      <name val="Times New Roman"/>
      <family val="2"/>
      <charset val="163"/>
    </font>
    <font>
      <sz val="11.7"/>
      <color theme="1"/>
      <name val="Times New Roman"/>
      <family val="2"/>
      <charset val="163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3" fillId="0" borderId="0" xfId="0" applyFont="1"/>
    <xf numFmtId="165" fontId="3" fillId="0" borderId="0" xfId="1" applyNumberFormat="1" applyFont="1" applyFill="1"/>
    <xf numFmtId="166" fontId="3" fillId="0" borderId="0" xfId="1" applyNumberFormat="1" applyFont="1" applyFill="1"/>
    <xf numFmtId="166" fontId="3" fillId="0" borderId="0" xfId="1" applyNumberFormat="1" applyFont="1" applyFill="1" applyAlignment="1">
      <alignment wrapText="1"/>
    </xf>
    <xf numFmtId="0" fontId="4" fillId="0" borderId="1" xfId="0" applyFont="1" applyBorder="1" applyAlignment="1">
      <alignment horizontal="center" vertical="center" wrapText="1"/>
    </xf>
    <xf numFmtId="165" fontId="4" fillId="0" borderId="1" xfId="1" applyNumberFormat="1" applyFont="1" applyFill="1" applyBorder="1" applyAlignment="1">
      <alignment horizontal="center" vertical="center" wrapText="1"/>
    </xf>
    <xf numFmtId="166" fontId="4" fillId="0" borderId="1" xfId="1" applyNumberFormat="1" applyFont="1" applyFill="1" applyBorder="1" applyAlignment="1">
      <alignment horizontal="center" vertical="center" wrapText="1"/>
    </xf>
    <xf numFmtId="166" fontId="4" fillId="0" borderId="1" xfId="1" quotePrefix="1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5" fontId="5" fillId="0" borderId="1" xfId="1" applyNumberFormat="1" applyFont="1" applyFill="1" applyBorder="1" applyAlignment="1">
      <alignment vertical="center"/>
    </xf>
    <xf numFmtId="166" fontId="5" fillId="0" borderId="1" xfId="1" applyNumberFormat="1" applyFont="1" applyFill="1" applyBorder="1" applyAlignment="1">
      <alignment vertical="center" wrapText="1"/>
    </xf>
    <xf numFmtId="165" fontId="5" fillId="0" borderId="1" xfId="1" applyNumberFormat="1" applyFont="1" applyFill="1" applyBorder="1" applyAlignment="1">
      <alignment vertical="center" wrapText="1"/>
    </xf>
    <xf numFmtId="166" fontId="5" fillId="0" borderId="1" xfId="1" applyNumberFormat="1" applyFont="1" applyFill="1" applyBorder="1" applyAlignment="1">
      <alignment vertical="center"/>
    </xf>
    <xf numFmtId="166" fontId="5" fillId="0" borderId="1" xfId="1" quotePrefix="1" applyNumberFormat="1" applyFont="1" applyFill="1" applyBorder="1" applyAlignment="1">
      <alignment vertical="center" wrapText="1"/>
    </xf>
    <xf numFmtId="0" fontId="5" fillId="0" borderId="2" xfId="0" applyFont="1" applyBorder="1" applyAlignment="1">
      <alignment horizontal="left" vertical="center"/>
    </xf>
    <xf numFmtId="165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 wrapText="1"/>
    </xf>
    <xf numFmtId="166" fontId="5" fillId="0" borderId="2" xfId="1" applyNumberFormat="1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vertical="center"/>
    </xf>
    <xf numFmtId="0" fontId="4" fillId="0" borderId="1" xfId="0" applyFont="1" applyBorder="1"/>
    <xf numFmtId="165" fontId="4" fillId="0" borderId="1" xfId="1" applyNumberFormat="1" applyFont="1" applyFill="1" applyBorder="1"/>
    <xf numFmtId="166" fontId="4" fillId="0" borderId="1" xfId="0" applyNumberFormat="1" applyFont="1" applyBorder="1"/>
    <xf numFmtId="0" fontId="5" fillId="0" borderId="0" xfId="0" applyFont="1" applyAlignment="1">
      <alignment horizontal="left" vertical="center"/>
    </xf>
    <xf numFmtId="165" fontId="5" fillId="0" borderId="0" xfId="1" applyNumberFormat="1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165" fontId="4" fillId="0" borderId="0" xfId="1" applyNumberFormat="1" applyFont="1" applyAlignment="1">
      <alignment horizontal="left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EC85F-47FA-4312-AA35-D139B85D6BD3}">
  <sheetPr>
    <pageSetUpPr fitToPage="1"/>
  </sheetPr>
  <dimension ref="A1:I60"/>
  <sheetViews>
    <sheetView tabSelected="1" workbookViewId="0">
      <selection activeCell="I55" sqref="I55"/>
    </sheetView>
  </sheetViews>
  <sheetFormatPr defaultRowHeight="15.75" x14ac:dyDescent="0.25"/>
  <cols>
    <col min="1" max="1" width="27.75" style="2" customWidth="1"/>
    <col min="2" max="2" width="14.5" style="2" customWidth="1"/>
    <col min="3" max="5" width="14.5" style="2" hidden="1" customWidth="1"/>
    <col min="6" max="8" width="14.5" style="2" customWidth="1"/>
    <col min="9" max="9" width="36" style="2" customWidth="1"/>
    <col min="10" max="16384" width="9" style="2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3"/>
      <c r="B2" s="4"/>
      <c r="C2" s="5"/>
      <c r="D2" s="5"/>
      <c r="E2" s="5"/>
      <c r="F2" s="5"/>
      <c r="G2" s="5"/>
      <c r="H2" s="5"/>
      <c r="I2" s="6"/>
    </row>
    <row r="3" spans="1:9" ht="66" x14ac:dyDescent="0.25">
      <c r="A3" s="7" t="s">
        <v>1</v>
      </c>
      <c r="B3" s="8" t="s">
        <v>2</v>
      </c>
      <c r="C3" s="9" t="s">
        <v>3</v>
      </c>
      <c r="D3" s="9" t="s">
        <v>4</v>
      </c>
      <c r="E3" s="9" t="s">
        <v>5</v>
      </c>
      <c r="F3" s="9" t="s">
        <v>6</v>
      </c>
      <c r="G3" s="9" t="s">
        <v>7</v>
      </c>
      <c r="H3" s="10" t="s">
        <v>8</v>
      </c>
      <c r="I3" s="9"/>
    </row>
    <row r="4" spans="1:9" ht="16.5" x14ac:dyDescent="0.25">
      <c r="A4" s="11" t="s">
        <v>9</v>
      </c>
      <c r="B4" s="12">
        <v>63365804.979999997</v>
      </c>
      <c r="C4" s="13">
        <v>402509.07</v>
      </c>
      <c r="D4" s="13">
        <v>29223800.16</v>
      </c>
      <c r="E4" s="14">
        <v>0</v>
      </c>
      <c r="F4" s="13">
        <f>+C4+D4+E4</f>
        <v>29626309.23</v>
      </c>
      <c r="G4" s="15">
        <v>33739000</v>
      </c>
      <c r="H4" s="15">
        <f>+B4-F4-G4</f>
        <v>495.75</v>
      </c>
      <c r="I4" s="16"/>
    </row>
    <row r="5" spans="1:9" ht="33" x14ac:dyDescent="0.25">
      <c r="A5" s="11" t="s">
        <v>10</v>
      </c>
      <c r="B5" s="14">
        <v>14784457.390000001</v>
      </c>
      <c r="C5" s="13">
        <v>700000</v>
      </c>
      <c r="D5" s="13">
        <v>6454533.7300000004</v>
      </c>
      <c r="E5" s="14">
        <v>0</v>
      </c>
      <c r="F5" s="13">
        <f t="shared" ref="F5:F48" si="0">+C5+D5+E5</f>
        <v>7154533.7300000004</v>
      </c>
      <c r="G5" s="15"/>
      <c r="H5" s="15">
        <f t="shared" ref="H5:H48" si="1">+B5-F5-G5</f>
        <v>7629923.6600000001</v>
      </c>
      <c r="I5" s="16" t="s">
        <v>11</v>
      </c>
    </row>
    <row r="6" spans="1:9" ht="16.5" x14ac:dyDescent="0.25">
      <c r="A6" s="11" t="s">
        <v>12</v>
      </c>
      <c r="B6" s="14">
        <v>3192659.31</v>
      </c>
      <c r="C6" s="13">
        <v>0</v>
      </c>
      <c r="D6" s="13">
        <v>2000000</v>
      </c>
      <c r="E6" s="14">
        <v>0</v>
      </c>
      <c r="F6" s="13">
        <f t="shared" si="0"/>
        <v>2000000</v>
      </c>
      <c r="G6" s="15">
        <v>1193000</v>
      </c>
      <c r="H6" s="15">
        <f t="shared" si="1"/>
        <v>-340.68999999994412</v>
      </c>
      <c r="I6" s="13"/>
    </row>
    <row r="7" spans="1:9" ht="16.5" x14ac:dyDescent="0.25">
      <c r="A7" s="17" t="s">
        <v>13</v>
      </c>
      <c r="B7" s="18">
        <v>32238631.949999999</v>
      </c>
      <c r="C7" s="19">
        <v>0</v>
      </c>
      <c r="D7" s="19">
        <v>5219647.68</v>
      </c>
      <c r="E7" s="18">
        <v>0</v>
      </c>
      <c r="F7" s="13">
        <f t="shared" si="0"/>
        <v>5219647.68</v>
      </c>
      <c r="G7" s="20">
        <v>27018000</v>
      </c>
      <c r="H7" s="15">
        <f t="shared" si="1"/>
        <v>984.26999999955297</v>
      </c>
      <c r="I7" s="13"/>
    </row>
    <row r="8" spans="1:9" ht="16.5" x14ac:dyDescent="0.25">
      <c r="A8" s="11" t="s">
        <v>14</v>
      </c>
      <c r="B8" s="14">
        <v>30932000</v>
      </c>
      <c r="C8" s="13">
        <v>7122000</v>
      </c>
      <c r="D8" s="13">
        <v>18542000</v>
      </c>
      <c r="E8" s="14">
        <v>5008000</v>
      </c>
      <c r="F8" s="13">
        <f t="shared" si="0"/>
        <v>30672000</v>
      </c>
      <c r="G8" s="15">
        <v>260000</v>
      </c>
      <c r="H8" s="15">
        <f t="shared" si="1"/>
        <v>0</v>
      </c>
      <c r="I8" s="13"/>
    </row>
    <row r="9" spans="1:9" ht="16.5" x14ac:dyDescent="0.25">
      <c r="A9" s="11" t="s">
        <v>15</v>
      </c>
      <c r="B9" s="14">
        <v>1343562.22</v>
      </c>
      <c r="C9" s="13">
        <v>0</v>
      </c>
      <c r="D9" s="13">
        <v>0</v>
      </c>
      <c r="E9" s="14">
        <v>0</v>
      </c>
      <c r="F9" s="13">
        <f t="shared" si="0"/>
        <v>0</v>
      </c>
      <c r="G9" s="15">
        <v>1343000</v>
      </c>
      <c r="H9" s="15">
        <f t="shared" si="1"/>
        <v>562.21999999997206</v>
      </c>
      <c r="I9" s="16"/>
    </row>
    <row r="10" spans="1:9" ht="16.5" x14ac:dyDescent="0.25">
      <c r="A10" s="11" t="s">
        <v>16</v>
      </c>
      <c r="B10" s="14">
        <v>12516682.029999999</v>
      </c>
      <c r="C10" s="13">
        <v>1270000</v>
      </c>
      <c r="D10" s="13">
        <v>3141959.12</v>
      </c>
      <c r="E10" s="14">
        <v>0</v>
      </c>
      <c r="F10" s="13">
        <f t="shared" si="0"/>
        <v>4411959.12</v>
      </c>
      <c r="G10" s="15">
        <v>8105000</v>
      </c>
      <c r="H10" s="15">
        <f t="shared" si="1"/>
        <v>-277.09000000078231</v>
      </c>
      <c r="I10" s="13"/>
    </row>
    <row r="11" spans="1:9" ht="16.5" x14ac:dyDescent="0.25">
      <c r="A11" s="11" t="s">
        <v>17</v>
      </c>
      <c r="B11" s="14">
        <v>207000</v>
      </c>
      <c r="C11" s="13">
        <v>0</v>
      </c>
      <c r="D11" s="13">
        <v>207000</v>
      </c>
      <c r="E11" s="14">
        <v>0</v>
      </c>
      <c r="F11" s="13">
        <f t="shared" si="0"/>
        <v>207000</v>
      </c>
      <c r="G11" s="15"/>
      <c r="H11" s="15">
        <f t="shared" si="1"/>
        <v>0</v>
      </c>
      <c r="I11" s="13"/>
    </row>
    <row r="12" spans="1:9" ht="16.5" x14ac:dyDescent="0.25">
      <c r="A12" s="17" t="s">
        <v>18</v>
      </c>
      <c r="B12" s="18">
        <v>107167037.64</v>
      </c>
      <c r="C12" s="19">
        <v>0</v>
      </c>
      <c r="D12" s="19">
        <v>40336090.659999996</v>
      </c>
      <c r="E12" s="18">
        <v>0</v>
      </c>
      <c r="F12" s="13">
        <f t="shared" si="0"/>
        <v>40336090.659999996</v>
      </c>
      <c r="G12" s="20">
        <v>66830000</v>
      </c>
      <c r="H12" s="15">
        <f t="shared" si="1"/>
        <v>946.98000000417233</v>
      </c>
      <c r="I12" s="13"/>
    </row>
    <row r="13" spans="1:9" ht="16.5" x14ac:dyDescent="0.25">
      <c r="A13" s="11" t="s">
        <v>19</v>
      </c>
      <c r="B13" s="14">
        <v>6600000</v>
      </c>
      <c r="C13" s="13">
        <v>0</v>
      </c>
      <c r="D13" s="13">
        <v>4600000</v>
      </c>
      <c r="E13" s="14">
        <v>0</v>
      </c>
      <c r="F13" s="13">
        <f t="shared" si="0"/>
        <v>4600000</v>
      </c>
      <c r="G13" s="15">
        <v>2000000</v>
      </c>
      <c r="H13" s="15">
        <f t="shared" si="1"/>
        <v>0</v>
      </c>
      <c r="I13" s="13"/>
    </row>
    <row r="14" spans="1:9" ht="16.5" x14ac:dyDescent="0.25">
      <c r="A14" s="17" t="s">
        <v>20</v>
      </c>
      <c r="B14" s="18">
        <v>6412711.5700000003</v>
      </c>
      <c r="C14" s="19">
        <v>0</v>
      </c>
      <c r="D14" s="19">
        <v>1150000</v>
      </c>
      <c r="E14" s="18">
        <v>0</v>
      </c>
      <c r="F14" s="13">
        <f t="shared" si="0"/>
        <v>1150000</v>
      </c>
      <c r="G14" s="20">
        <v>5262000</v>
      </c>
      <c r="H14" s="15">
        <f t="shared" si="1"/>
        <v>711.57000000029802</v>
      </c>
      <c r="I14" s="13"/>
    </row>
    <row r="15" spans="1:9" ht="33" x14ac:dyDescent="0.25">
      <c r="A15" s="11" t="s">
        <v>21</v>
      </c>
      <c r="B15" s="14">
        <v>69907188.040000007</v>
      </c>
      <c r="C15" s="13">
        <v>0</v>
      </c>
      <c r="D15" s="13">
        <v>54970903.909999996</v>
      </c>
      <c r="E15" s="14">
        <v>0</v>
      </c>
      <c r="F15" s="13">
        <f t="shared" si="0"/>
        <v>54970903.909999996</v>
      </c>
      <c r="G15" s="15">
        <v>14345000</v>
      </c>
      <c r="H15" s="15">
        <f t="shared" si="1"/>
        <v>591284.13000001013</v>
      </c>
      <c r="I15" s="13" t="s">
        <v>22</v>
      </c>
    </row>
    <row r="16" spans="1:9" ht="16.5" x14ac:dyDescent="0.25">
      <c r="A16" s="11" t="s">
        <v>23</v>
      </c>
      <c r="B16" s="14">
        <v>12496598.810000001</v>
      </c>
      <c r="C16" s="13">
        <v>0</v>
      </c>
      <c r="D16" s="13">
        <v>5000000</v>
      </c>
      <c r="E16" s="14">
        <v>0</v>
      </c>
      <c r="F16" s="13">
        <f t="shared" si="0"/>
        <v>5000000</v>
      </c>
      <c r="G16" s="15">
        <v>7497000</v>
      </c>
      <c r="H16" s="15">
        <f t="shared" si="1"/>
        <v>-401.18999999947846</v>
      </c>
      <c r="I16" s="16"/>
    </row>
    <row r="17" spans="1:9" ht="16.5" x14ac:dyDescent="0.25">
      <c r="A17" s="11" t="s">
        <v>24</v>
      </c>
      <c r="B17" s="14">
        <v>1622621.4</v>
      </c>
      <c r="C17" s="13">
        <v>0</v>
      </c>
      <c r="D17" s="13">
        <v>1066250</v>
      </c>
      <c r="E17" s="14">
        <v>0</v>
      </c>
      <c r="F17" s="13">
        <f t="shared" si="0"/>
        <v>1066250</v>
      </c>
      <c r="G17" s="15">
        <v>556000</v>
      </c>
      <c r="H17" s="15">
        <f t="shared" si="1"/>
        <v>371.39999999990687</v>
      </c>
      <c r="I17" s="13"/>
    </row>
    <row r="18" spans="1:9" ht="33" x14ac:dyDescent="0.25">
      <c r="A18" s="11" t="s">
        <v>25</v>
      </c>
      <c r="B18" s="14">
        <v>6869772.46</v>
      </c>
      <c r="C18" s="13">
        <v>0</v>
      </c>
      <c r="D18" s="13">
        <v>0</v>
      </c>
      <c r="E18" s="14">
        <v>0</v>
      </c>
      <c r="F18" s="13">
        <f t="shared" si="0"/>
        <v>0</v>
      </c>
      <c r="G18" s="15"/>
      <c r="H18" s="15">
        <f t="shared" si="1"/>
        <v>6869772.46</v>
      </c>
      <c r="I18" s="13" t="s">
        <v>26</v>
      </c>
    </row>
    <row r="19" spans="1:9" ht="16.5" x14ac:dyDescent="0.25">
      <c r="A19" s="17" t="s">
        <v>27</v>
      </c>
      <c r="B19" s="18">
        <v>65208996.270000003</v>
      </c>
      <c r="C19" s="19">
        <v>0</v>
      </c>
      <c r="D19" s="19">
        <v>25784967.199999999</v>
      </c>
      <c r="E19" s="18">
        <v>0</v>
      </c>
      <c r="F19" s="13">
        <f t="shared" si="0"/>
        <v>25784967.199999999</v>
      </c>
      <c r="G19" s="20">
        <v>39424000</v>
      </c>
      <c r="H19" s="15">
        <f t="shared" si="1"/>
        <v>29.070000007748604</v>
      </c>
      <c r="I19" s="13"/>
    </row>
    <row r="20" spans="1:9" ht="16.5" x14ac:dyDescent="0.25">
      <c r="A20" s="11" t="s">
        <v>28</v>
      </c>
      <c r="B20" s="14">
        <v>13678949.189999999</v>
      </c>
      <c r="C20" s="13">
        <v>0</v>
      </c>
      <c r="D20" s="13">
        <v>6084526.1799999997</v>
      </c>
      <c r="E20" s="14">
        <v>0</v>
      </c>
      <c r="F20" s="13">
        <f t="shared" si="0"/>
        <v>6084526.1799999997</v>
      </c>
      <c r="G20" s="15">
        <v>7594000</v>
      </c>
      <c r="H20" s="15">
        <f t="shared" si="1"/>
        <v>423.00999999977648</v>
      </c>
      <c r="I20" s="13"/>
    </row>
    <row r="21" spans="1:9" ht="16.5" x14ac:dyDescent="0.25">
      <c r="A21" s="11" t="s">
        <v>29</v>
      </c>
      <c r="B21" s="14">
        <v>12614145.630000001</v>
      </c>
      <c r="C21" s="13">
        <v>0</v>
      </c>
      <c r="D21" s="13">
        <v>6445928.2300000004</v>
      </c>
      <c r="E21" s="14">
        <v>0</v>
      </c>
      <c r="F21" s="13">
        <f t="shared" si="0"/>
        <v>6445928.2300000004</v>
      </c>
      <c r="G21" s="15">
        <v>6168000</v>
      </c>
      <c r="H21" s="15">
        <f t="shared" si="1"/>
        <v>217.40000000037253</v>
      </c>
      <c r="I21" s="16"/>
    </row>
    <row r="22" spans="1:9" ht="16.5" x14ac:dyDescent="0.25">
      <c r="A22" s="11" t="s">
        <v>30</v>
      </c>
      <c r="B22" s="14">
        <v>24714729.43</v>
      </c>
      <c r="C22" s="13">
        <v>5512000</v>
      </c>
      <c r="D22" s="13">
        <v>8087104.4500000002</v>
      </c>
      <c r="E22" s="14">
        <v>0</v>
      </c>
      <c r="F22" s="13">
        <f t="shared" si="0"/>
        <v>13599104.449999999</v>
      </c>
      <c r="G22" s="15">
        <v>11115000</v>
      </c>
      <c r="H22" s="15">
        <f t="shared" si="1"/>
        <v>624.98000000044703</v>
      </c>
      <c r="I22" s="13"/>
    </row>
    <row r="23" spans="1:9" ht="16.5" x14ac:dyDescent="0.25">
      <c r="A23" s="11" t="s">
        <v>31</v>
      </c>
      <c r="B23" s="14">
        <v>15467356.289999999</v>
      </c>
      <c r="C23" s="13">
        <v>0</v>
      </c>
      <c r="D23" s="13">
        <v>3380881.02</v>
      </c>
      <c r="E23" s="14">
        <v>0</v>
      </c>
      <c r="F23" s="13">
        <f t="shared" si="0"/>
        <v>3380881.02</v>
      </c>
      <c r="G23" s="15">
        <v>12086000</v>
      </c>
      <c r="H23" s="15">
        <f t="shared" si="1"/>
        <v>475.26999999955297</v>
      </c>
      <c r="I23" s="13"/>
    </row>
    <row r="24" spans="1:9" ht="16.5" x14ac:dyDescent="0.25">
      <c r="A24" s="17" t="s">
        <v>32</v>
      </c>
      <c r="B24" s="18">
        <v>5300000</v>
      </c>
      <c r="C24" s="19">
        <v>0</v>
      </c>
      <c r="D24" s="19">
        <v>5300000</v>
      </c>
      <c r="E24" s="18">
        <v>0</v>
      </c>
      <c r="F24" s="13">
        <f t="shared" si="0"/>
        <v>5300000</v>
      </c>
      <c r="G24" s="20"/>
      <c r="H24" s="15">
        <f t="shared" si="1"/>
        <v>0</v>
      </c>
      <c r="I24" s="13"/>
    </row>
    <row r="25" spans="1:9" ht="16.5" x14ac:dyDescent="0.25">
      <c r="A25" s="11" t="s">
        <v>33</v>
      </c>
      <c r="B25" s="14">
        <v>18503862.539999999</v>
      </c>
      <c r="C25" s="13">
        <v>0</v>
      </c>
      <c r="D25" s="13">
        <v>8506373.2599999998</v>
      </c>
      <c r="E25" s="14">
        <v>0</v>
      </c>
      <c r="F25" s="13">
        <f t="shared" si="0"/>
        <v>8506373.2599999998</v>
      </c>
      <c r="G25" s="15">
        <v>9997000</v>
      </c>
      <c r="H25" s="15">
        <f t="shared" si="1"/>
        <v>489.27999999932945</v>
      </c>
      <c r="I25" s="13"/>
    </row>
    <row r="26" spans="1:9" ht="16.5" x14ac:dyDescent="0.25">
      <c r="A26" s="11" t="s">
        <v>34</v>
      </c>
      <c r="B26" s="14">
        <v>55357129.149999999</v>
      </c>
      <c r="C26" s="13">
        <v>428515.1</v>
      </c>
      <c r="D26" s="13">
        <v>31000000</v>
      </c>
      <c r="E26" s="14">
        <v>0</v>
      </c>
      <c r="F26" s="13">
        <f t="shared" si="0"/>
        <v>31428515.100000001</v>
      </c>
      <c r="G26" s="15">
        <f>15928000+8000000</f>
        <v>23928000</v>
      </c>
      <c r="H26" s="15">
        <f t="shared" si="1"/>
        <v>614.04999999701977</v>
      </c>
      <c r="I26" s="16"/>
    </row>
    <row r="27" spans="1:9" ht="16.5" x14ac:dyDescent="0.25">
      <c r="A27" s="11" t="s">
        <v>35</v>
      </c>
      <c r="B27" s="14">
        <v>4677414.7699999996</v>
      </c>
      <c r="C27" s="13">
        <v>0</v>
      </c>
      <c r="D27" s="13">
        <v>137601.23000000001</v>
      </c>
      <c r="E27" s="14">
        <v>0</v>
      </c>
      <c r="F27" s="13">
        <f t="shared" si="0"/>
        <v>137601.23000000001</v>
      </c>
      <c r="G27" s="15">
        <v>4539000</v>
      </c>
      <c r="H27" s="15">
        <f t="shared" si="1"/>
        <v>813.53999999910593</v>
      </c>
      <c r="I27" s="16"/>
    </row>
    <row r="28" spans="1:9" ht="16.5" x14ac:dyDescent="0.25">
      <c r="A28" s="11" t="s">
        <v>36</v>
      </c>
      <c r="B28" s="14">
        <v>55453524.270000003</v>
      </c>
      <c r="C28" s="13">
        <v>0</v>
      </c>
      <c r="D28" s="13">
        <v>49975448.200000003</v>
      </c>
      <c r="E28" s="14">
        <v>0</v>
      </c>
      <c r="F28" s="13">
        <f t="shared" si="0"/>
        <v>49975448.200000003</v>
      </c>
      <c r="G28" s="15">
        <v>5478000</v>
      </c>
      <c r="H28" s="15">
        <f t="shared" si="1"/>
        <v>76.070000000298023</v>
      </c>
      <c r="I28" s="16"/>
    </row>
    <row r="29" spans="1:9" ht="16.5" x14ac:dyDescent="0.25">
      <c r="A29" s="11" t="s">
        <v>37</v>
      </c>
      <c r="B29" s="14">
        <v>6000000</v>
      </c>
      <c r="C29" s="13">
        <v>0</v>
      </c>
      <c r="D29" s="13">
        <v>0</v>
      </c>
      <c r="E29" s="14">
        <v>0</v>
      </c>
      <c r="F29" s="13">
        <f t="shared" si="0"/>
        <v>0</v>
      </c>
      <c r="G29" s="15">
        <v>6000000</v>
      </c>
      <c r="H29" s="15">
        <f t="shared" si="1"/>
        <v>0</v>
      </c>
      <c r="I29" s="13"/>
    </row>
    <row r="30" spans="1:9" ht="16.5" x14ac:dyDescent="0.25">
      <c r="A30" s="11" t="s">
        <v>38</v>
      </c>
      <c r="B30" s="14">
        <v>10803004.57</v>
      </c>
      <c r="C30" s="13">
        <v>0</v>
      </c>
      <c r="D30" s="13">
        <v>5142811.18</v>
      </c>
      <c r="E30" s="14">
        <v>0</v>
      </c>
      <c r="F30" s="13">
        <f t="shared" si="0"/>
        <v>5142811.18</v>
      </c>
      <c r="G30" s="15">
        <v>5660000</v>
      </c>
      <c r="H30" s="15">
        <f t="shared" si="1"/>
        <v>193.39000000059605</v>
      </c>
      <c r="I30" s="16"/>
    </row>
    <row r="31" spans="1:9" ht="16.5" x14ac:dyDescent="0.25">
      <c r="A31" s="11" t="s">
        <v>39</v>
      </c>
      <c r="B31" s="14">
        <v>5010983.07</v>
      </c>
      <c r="C31" s="13">
        <v>0</v>
      </c>
      <c r="D31" s="13">
        <v>1472545.78</v>
      </c>
      <c r="E31" s="14">
        <v>0</v>
      </c>
      <c r="F31" s="13">
        <f t="shared" si="0"/>
        <v>1472545.78</v>
      </c>
      <c r="G31" s="15">
        <v>3538000</v>
      </c>
      <c r="H31" s="15">
        <f t="shared" si="1"/>
        <v>437.29000000003725</v>
      </c>
      <c r="I31" s="16"/>
    </row>
    <row r="32" spans="1:9" ht="16.5" x14ac:dyDescent="0.25">
      <c r="A32" s="11" t="s">
        <v>40</v>
      </c>
      <c r="B32" s="14">
        <v>9400000</v>
      </c>
      <c r="C32" s="13">
        <v>4400000</v>
      </c>
      <c r="D32" s="13">
        <v>0</v>
      </c>
      <c r="E32" s="14">
        <v>0</v>
      </c>
      <c r="F32" s="13">
        <f t="shared" si="0"/>
        <v>4400000</v>
      </c>
      <c r="G32" s="15">
        <v>5000000</v>
      </c>
      <c r="H32" s="15">
        <f t="shared" si="1"/>
        <v>0</v>
      </c>
      <c r="I32" s="16"/>
    </row>
    <row r="33" spans="1:9" ht="16.5" x14ac:dyDescent="0.25">
      <c r="A33" s="11" t="s">
        <v>41</v>
      </c>
      <c r="B33" s="14">
        <v>26000761.960000001</v>
      </c>
      <c r="C33" s="13">
        <v>0</v>
      </c>
      <c r="D33" s="13">
        <v>9934280.7699999996</v>
      </c>
      <c r="E33" s="14">
        <v>0</v>
      </c>
      <c r="F33" s="13">
        <f t="shared" si="0"/>
        <v>9934280.7699999996</v>
      </c>
      <c r="G33" s="15">
        <v>16066000</v>
      </c>
      <c r="H33" s="15">
        <f t="shared" si="1"/>
        <v>481.1900000013411</v>
      </c>
      <c r="I33" s="13"/>
    </row>
    <row r="34" spans="1:9" ht="16.5" x14ac:dyDescent="0.25">
      <c r="A34" s="17" t="s">
        <v>42</v>
      </c>
      <c r="B34" s="18">
        <v>19163818.91</v>
      </c>
      <c r="C34" s="19">
        <v>90566.8</v>
      </c>
      <c r="D34" s="19">
        <v>1761385.64</v>
      </c>
      <c r="E34" s="18">
        <v>0</v>
      </c>
      <c r="F34" s="13">
        <f t="shared" si="0"/>
        <v>1851952.44</v>
      </c>
      <c r="G34" s="20">
        <v>17311000</v>
      </c>
      <c r="H34" s="15">
        <f t="shared" si="1"/>
        <v>866.46999999880791</v>
      </c>
      <c r="I34" s="13"/>
    </row>
    <row r="35" spans="1:9" ht="16.5" x14ac:dyDescent="0.25">
      <c r="A35" s="11" t="s">
        <v>43</v>
      </c>
      <c r="B35" s="14">
        <v>37945550.159999996</v>
      </c>
      <c r="C35" s="13">
        <v>0</v>
      </c>
      <c r="D35" s="13">
        <v>26933067.559999999</v>
      </c>
      <c r="E35" s="14">
        <v>0</v>
      </c>
      <c r="F35" s="13">
        <f t="shared" si="0"/>
        <v>26933067.559999999</v>
      </c>
      <c r="G35" s="15">
        <v>11012000</v>
      </c>
      <c r="H35" s="15">
        <f t="shared" si="1"/>
        <v>482.59999999776483</v>
      </c>
      <c r="I35" s="13"/>
    </row>
    <row r="36" spans="1:9" ht="16.5" x14ac:dyDescent="0.25">
      <c r="A36" s="11" t="s">
        <v>44</v>
      </c>
      <c r="B36" s="14">
        <v>59228869.409999996</v>
      </c>
      <c r="C36" s="13">
        <v>10000000</v>
      </c>
      <c r="D36" s="13">
        <v>41000000</v>
      </c>
      <c r="E36" s="14">
        <v>0</v>
      </c>
      <c r="F36" s="13">
        <f t="shared" si="0"/>
        <v>51000000</v>
      </c>
      <c r="G36" s="15">
        <v>8228000</v>
      </c>
      <c r="H36" s="15">
        <f t="shared" si="1"/>
        <v>869.40999999642372</v>
      </c>
      <c r="I36" s="16"/>
    </row>
    <row r="37" spans="1:9" ht="16.5" x14ac:dyDescent="0.25">
      <c r="A37" s="11" t="s">
        <v>45</v>
      </c>
      <c r="B37" s="14">
        <v>9637718.9299999997</v>
      </c>
      <c r="C37" s="13">
        <v>0</v>
      </c>
      <c r="D37" s="13">
        <v>2500000</v>
      </c>
      <c r="E37" s="14">
        <v>0</v>
      </c>
      <c r="F37" s="13">
        <f t="shared" si="0"/>
        <v>2500000</v>
      </c>
      <c r="G37" s="15">
        <v>7137000</v>
      </c>
      <c r="H37" s="15">
        <f t="shared" si="1"/>
        <v>718.92999999970198</v>
      </c>
      <c r="I37" s="13"/>
    </row>
    <row r="38" spans="1:9" ht="16.5" x14ac:dyDescent="0.25">
      <c r="A38" s="17" t="s">
        <v>46</v>
      </c>
      <c r="B38" s="18">
        <v>12118000</v>
      </c>
      <c r="C38" s="19">
        <v>7963000</v>
      </c>
      <c r="D38" s="19">
        <v>1053000</v>
      </c>
      <c r="E38" s="18">
        <v>0</v>
      </c>
      <c r="F38" s="13">
        <f t="shared" si="0"/>
        <v>9016000</v>
      </c>
      <c r="G38" s="20">
        <v>3102000</v>
      </c>
      <c r="H38" s="15">
        <f t="shared" si="1"/>
        <v>0</v>
      </c>
      <c r="I38" s="13"/>
    </row>
    <row r="39" spans="1:9" ht="16.5" x14ac:dyDescent="0.25">
      <c r="A39" s="11" t="s">
        <v>47</v>
      </c>
      <c r="B39" s="14">
        <v>25554625.98</v>
      </c>
      <c r="C39" s="13">
        <v>1000000</v>
      </c>
      <c r="D39" s="13">
        <v>11032826.16</v>
      </c>
      <c r="E39" s="14">
        <v>0</v>
      </c>
      <c r="F39" s="13">
        <f t="shared" si="0"/>
        <v>12032826.16</v>
      </c>
      <c r="G39" s="15">
        <v>13522000</v>
      </c>
      <c r="H39" s="15">
        <f t="shared" si="1"/>
        <v>-200.17999999970198</v>
      </c>
      <c r="I39" s="13"/>
    </row>
    <row r="40" spans="1:9" ht="16.5" x14ac:dyDescent="0.25">
      <c r="A40" s="11" t="s">
        <v>48</v>
      </c>
      <c r="B40" s="14">
        <v>103756416.98</v>
      </c>
      <c r="C40" s="13">
        <v>0</v>
      </c>
      <c r="D40" s="13">
        <v>20588587.510000002</v>
      </c>
      <c r="E40" s="14">
        <v>0</v>
      </c>
      <c r="F40" s="13">
        <f t="shared" si="0"/>
        <v>20588587.510000002</v>
      </c>
      <c r="G40" s="15">
        <v>83167000</v>
      </c>
      <c r="H40" s="15">
        <f t="shared" si="1"/>
        <v>829.46999999880791</v>
      </c>
      <c r="I40" s="16"/>
    </row>
    <row r="41" spans="1:9" ht="16.5" x14ac:dyDescent="0.25">
      <c r="A41" s="11" t="s">
        <v>49</v>
      </c>
      <c r="B41" s="14">
        <v>10568885</v>
      </c>
      <c r="C41" s="13">
        <v>0</v>
      </c>
      <c r="D41" s="13">
        <v>7067229.8399999999</v>
      </c>
      <c r="E41" s="14">
        <v>0</v>
      </c>
      <c r="F41" s="13">
        <f t="shared" si="0"/>
        <v>7067229.8399999999</v>
      </c>
      <c r="G41" s="15">
        <v>3502000</v>
      </c>
      <c r="H41" s="15">
        <f t="shared" si="1"/>
        <v>-344.83999999985099</v>
      </c>
      <c r="I41" s="13"/>
    </row>
    <row r="42" spans="1:9" ht="16.5" x14ac:dyDescent="0.25">
      <c r="A42" s="11" t="s">
        <v>50</v>
      </c>
      <c r="B42" s="14">
        <v>2593535.2400000002</v>
      </c>
      <c r="C42" s="13">
        <v>0</v>
      </c>
      <c r="D42" s="13">
        <v>593535.24</v>
      </c>
      <c r="E42" s="14">
        <v>0</v>
      </c>
      <c r="F42" s="13">
        <f t="shared" si="0"/>
        <v>593535.24</v>
      </c>
      <c r="G42" s="15">
        <v>2000000</v>
      </c>
      <c r="H42" s="15">
        <f t="shared" si="1"/>
        <v>0</v>
      </c>
      <c r="I42" s="13"/>
    </row>
    <row r="43" spans="1:9" ht="16.5" x14ac:dyDescent="0.25">
      <c r="A43" s="17" t="s">
        <v>51</v>
      </c>
      <c r="B43" s="18">
        <v>265000</v>
      </c>
      <c r="C43" s="19">
        <v>265000</v>
      </c>
      <c r="D43" s="19">
        <v>0</v>
      </c>
      <c r="E43" s="18">
        <v>0</v>
      </c>
      <c r="F43" s="13">
        <f t="shared" si="0"/>
        <v>265000</v>
      </c>
      <c r="G43" s="20"/>
      <c r="H43" s="15">
        <f t="shared" si="1"/>
        <v>0</v>
      </c>
      <c r="I43" s="13"/>
    </row>
    <row r="44" spans="1:9" ht="16.5" x14ac:dyDescent="0.25">
      <c r="A44" s="11" t="s">
        <v>52</v>
      </c>
      <c r="B44" s="14">
        <v>2600000</v>
      </c>
      <c r="C44" s="13">
        <v>0</v>
      </c>
      <c r="D44" s="13">
        <v>0</v>
      </c>
      <c r="E44" s="14">
        <v>0</v>
      </c>
      <c r="F44" s="13">
        <f t="shared" si="0"/>
        <v>0</v>
      </c>
      <c r="G44" s="15">
        <v>2600000</v>
      </c>
      <c r="H44" s="15">
        <f t="shared" si="1"/>
        <v>0</v>
      </c>
      <c r="I44" s="13"/>
    </row>
    <row r="45" spans="1:9" ht="16.5" x14ac:dyDescent="0.25">
      <c r="A45" s="11" t="s">
        <v>53</v>
      </c>
      <c r="B45" s="14">
        <v>17904043.649999999</v>
      </c>
      <c r="C45" s="13">
        <v>1000000</v>
      </c>
      <c r="D45" s="13">
        <v>5643163.0999999996</v>
      </c>
      <c r="E45" s="14">
        <v>0</v>
      </c>
      <c r="F45" s="13">
        <f t="shared" si="0"/>
        <v>6643163.0999999996</v>
      </c>
      <c r="G45" s="15">
        <v>11261000</v>
      </c>
      <c r="H45" s="15">
        <f t="shared" si="1"/>
        <v>-119.45000000111759</v>
      </c>
      <c r="I45" s="13"/>
    </row>
    <row r="46" spans="1:9" ht="33" x14ac:dyDescent="0.25">
      <c r="A46" s="17" t="s">
        <v>54</v>
      </c>
      <c r="B46" s="18"/>
      <c r="C46" s="19"/>
      <c r="D46" s="19"/>
      <c r="E46" s="18"/>
      <c r="F46" s="13">
        <f t="shared" si="0"/>
        <v>0</v>
      </c>
      <c r="G46" s="20">
        <v>224000</v>
      </c>
      <c r="H46" s="15">
        <f t="shared" si="1"/>
        <v>-224000</v>
      </c>
      <c r="I46" s="13" t="s">
        <v>55</v>
      </c>
    </row>
    <row r="47" spans="1:9" ht="16.5" x14ac:dyDescent="0.25">
      <c r="A47" s="11" t="s">
        <v>56</v>
      </c>
      <c r="B47" s="14"/>
      <c r="C47" s="13"/>
      <c r="D47" s="13"/>
      <c r="E47" s="14"/>
      <c r="F47" s="13">
        <f t="shared" si="0"/>
        <v>0</v>
      </c>
      <c r="G47" s="15">
        <v>32170000</v>
      </c>
      <c r="H47" s="15">
        <f t="shared" si="1"/>
        <v>-32170000</v>
      </c>
      <c r="I47" s="13" t="s">
        <v>57</v>
      </c>
    </row>
    <row r="48" spans="1:9" ht="16.5" hidden="1" x14ac:dyDescent="0.25">
      <c r="A48" s="11"/>
      <c r="B48" s="14"/>
      <c r="C48" s="13"/>
      <c r="D48" s="13"/>
      <c r="E48" s="14"/>
      <c r="F48" s="13">
        <f t="shared" si="0"/>
        <v>0</v>
      </c>
      <c r="G48" s="21"/>
      <c r="H48" s="15">
        <f t="shared" si="1"/>
        <v>0</v>
      </c>
      <c r="I48" s="16"/>
    </row>
    <row r="49" spans="1:9" ht="16.5" x14ac:dyDescent="0.25">
      <c r="A49" s="22" t="s">
        <v>58</v>
      </c>
      <c r="B49" s="23">
        <f t="shared" ref="B49:H49" si="2">+SUM(B4:B48)</f>
        <v>999184049.19999993</v>
      </c>
      <c r="C49" s="23">
        <f t="shared" si="2"/>
        <v>40153590.969999999</v>
      </c>
      <c r="D49" s="23">
        <f t="shared" si="2"/>
        <v>451337447.80999994</v>
      </c>
      <c r="E49" s="23">
        <f t="shared" si="2"/>
        <v>5008000</v>
      </c>
      <c r="F49" s="23">
        <f t="shared" si="2"/>
        <v>496499038.77999997</v>
      </c>
      <c r="G49" s="23">
        <f t="shared" si="2"/>
        <v>519977000</v>
      </c>
      <c r="H49" s="24">
        <f t="shared" si="2"/>
        <v>-17291989.579999991</v>
      </c>
      <c r="I49" s="22"/>
    </row>
    <row r="50" spans="1:9" ht="16.5" x14ac:dyDescent="0.25">
      <c r="A50" s="25"/>
      <c r="B50" s="25"/>
      <c r="C50" s="25"/>
      <c r="D50" s="25"/>
      <c r="E50" s="25"/>
      <c r="F50" s="25"/>
      <c r="G50" s="26"/>
      <c r="H50" s="25"/>
      <c r="I50" s="25"/>
    </row>
    <row r="51" spans="1:9" ht="16.5" x14ac:dyDescent="0.25">
      <c r="A51" s="25" t="s">
        <v>59</v>
      </c>
      <c r="B51" s="25"/>
      <c r="C51" s="25"/>
      <c r="D51" s="25"/>
      <c r="E51" s="25"/>
      <c r="F51" s="25"/>
      <c r="G51" s="26">
        <v>29162000</v>
      </c>
      <c r="H51" s="25"/>
      <c r="I51" s="25"/>
    </row>
    <row r="52" spans="1:9" ht="16.5" x14ac:dyDescent="0.25">
      <c r="A52" s="25" t="s">
        <v>60</v>
      </c>
      <c r="B52" s="25"/>
      <c r="C52" s="25"/>
      <c r="D52" s="25"/>
      <c r="E52" s="25"/>
      <c r="F52" s="25"/>
      <c r="G52" s="26">
        <v>16784000</v>
      </c>
      <c r="H52" s="25"/>
      <c r="I52" s="25"/>
    </row>
    <row r="53" spans="1:9" ht="16.5" x14ac:dyDescent="0.25">
      <c r="A53" s="25" t="s">
        <v>61</v>
      </c>
      <c r="B53" s="25"/>
      <c r="C53" s="25"/>
      <c r="D53" s="25"/>
      <c r="E53" s="25"/>
      <c r="F53" s="25"/>
      <c r="G53" s="26">
        <v>3401000</v>
      </c>
      <c r="H53" s="25"/>
      <c r="I53" s="25"/>
    </row>
    <row r="54" spans="1:9" ht="16.5" x14ac:dyDescent="0.25">
      <c r="A54" s="25" t="s">
        <v>62</v>
      </c>
      <c r="B54" s="25"/>
      <c r="C54" s="25"/>
      <c r="D54" s="25"/>
      <c r="E54" s="25"/>
      <c r="F54" s="25"/>
      <c r="G54" s="26">
        <v>2140000</v>
      </c>
      <c r="H54" s="25"/>
      <c r="I54" s="25"/>
    </row>
    <row r="55" spans="1:9" ht="16.5" x14ac:dyDescent="0.25">
      <c r="A55" s="25" t="s">
        <v>63</v>
      </c>
      <c r="B55" s="25"/>
      <c r="C55" s="25"/>
      <c r="D55" s="25"/>
      <c r="E55" s="25"/>
      <c r="F55" s="25"/>
      <c r="G55" s="26">
        <v>13916000</v>
      </c>
      <c r="H55" s="25"/>
      <c r="I55" s="25"/>
    </row>
    <row r="56" spans="1:9" ht="16.5" x14ac:dyDescent="0.25">
      <c r="A56" s="25" t="s">
        <v>64</v>
      </c>
      <c r="B56" s="25"/>
      <c r="C56" s="25"/>
      <c r="D56" s="25"/>
      <c r="E56" s="25"/>
      <c r="F56" s="25"/>
      <c r="G56" s="26">
        <v>3102886</v>
      </c>
      <c r="H56" s="25"/>
      <c r="I56" s="25"/>
    </row>
    <row r="57" spans="1:9" ht="16.5" x14ac:dyDescent="0.25">
      <c r="A57" s="25" t="s">
        <v>65</v>
      </c>
      <c r="B57" s="25"/>
      <c r="C57" s="25"/>
      <c r="D57" s="25"/>
      <c r="E57" s="25"/>
      <c r="F57" s="25"/>
      <c r="G57" s="26">
        <v>300000</v>
      </c>
      <c r="H57" s="25"/>
      <c r="I57" s="25"/>
    </row>
    <row r="58" spans="1:9" ht="16.5" hidden="1" x14ac:dyDescent="0.25">
      <c r="A58" s="25" t="s">
        <v>66</v>
      </c>
      <c r="B58" s="25"/>
      <c r="C58" s="25"/>
      <c r="D58" s="25"/>
      <c r="E58" s="25"/>
      <c r="F58" s="25"/>
      <c r="G58" s="26"/>
      <c r="H58" s="25"/>
      <c r="I58" s="25"/>
    </row>
    <row r="59" spans="1:9" ht="16.5" x14ac:dyDescent="0.25">
      <c r="A59" s="25"/>
      <c r="B59" s="25"/>
      <c r="C59" s="25"/>
      <c r="D59" s="25"/>
      <c r="E59" s="25"/>
      <c r="F59" s="25"/>
      <c r="G59" s="26"/>
      <c r="H59" s="25"/>
      <c r="I59" s="25"/>
    </row>
    <row r="60" spans="1:9" ht="16.5" x14ac:dyDescent="0.25">
      <c r="A60" s="27" t="s">
        <v>67</v>
      </c>
      <c r="B60" s="27"/>
      <c r="C60" s="27"/>
      <c r="D60" s="27"/>
      <c r="E60" s="27"/>
      <c r="F60" s="27"/>
      <c r="G60" s="28">
        <f>+SUM(G49:G59)</f>
        <v>588782886</v>
      </c>
      <c r="H60" s="27"/>
      <c r="I60" s="27"/>
    </row>
  </sheetData>
  <mergeCells count="1">
    <mergeCell ref="A1:I1"/>
  </mergeCells>
  <pageMargins left="0.7" right="0.7" top="0.75" bottom="0.75" header="0.3" footer="0.3"/>
  <pageSetup paperSize="9" scale="68" fitToHeight="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13.12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2026-05-19T06:53:28Z</dcterms:created>
  <dcterms:modified xsi:type="dcterms:W3CDTF">2026-05-19T06:54:06Z</dcterms:modified>
</cp:coreProperties>
</file>