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 KIỂM SOÁT NỘI BỘ\2. KIỂM TRA THU CHI TIỀN MẶT\Tháng 12.2025\Ngày 10-12\"/>
    </mc:Choice>
  </mc:AlternateContent>
  <xr:revisionPtr revIDLastSave="0" documentId="13_ncr:1_{3570E9ED-154C-4D78-9BF7-FDC89A79B72E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SHN" sheetId="1" state="hidden" r:id="rId1"/>
    <sheet name="SHVND" sheetId="2" r:id="rId2"/>
    <sheet name="SHUSD" sheetId="3" state="hidden" r:id="rId3"/>
    <sheet name="Sheet4" sheetId="4" r:id="rId4"/>
  </sheets>
  <definedNames>
    <definedName name="_xlnm._FilterDatabase" localSheetId="1" hidden="1">SHVND!$A$10:$I$10</definedName>
    <definedName name="_xlnm.Print_Titles" localSheetId="0">SHN!$20:$21</definedName>
    <definedName name="_xlnm.Print_Titles" localSheetId="1">SHVND!$8:$9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9" i="2" l="1"/>
  <c r="H59" i="2"/>
  <c r="H60" i="2" l="1"/>
</calcChain>
</file>

<file path=xl/sharedStrings.xml><?xml version="1.0" encoding="utf-8"?>
<sst xmlns="http://schemas.openxmlformats.org/spreadsheetml/2006/main" count="676" uniqueCount="153">
  <si>
    <t>T</t>
  </si>
  <si>
    <t>CỘNG PHÁT SINH</t>
  </si>
  <si>
    <t>SỐ DƯ CUỐI KỲ</t>
  </si>
  <si>
    <t>Ngày 31 tháng 12 năm 2025</t>
  </si>
  <si>
    <t>Người lập</t>
  </si>
  <si>
    <t>Kế toán trưởng</t>
  </si>
  <si>
    <t>Giám đốc</t>
  </si>
  <si>
    <t xml:space="preserve">Tên công ty . . . </t>
  </si>
  <si>
    <t>Địa chỉ . . .</t>
  </si>
  <si>
    <t>Mã số thuế : . . .</t>
  </si>
  <si>
    <t>SỔ CHI TIẾT TÀI KHOẢN</t>
  </si>
  <si>
    <t>Mã hiệu : . . .</t>
  </si>
  <si>
    <t>Từ ngày . . . Đến ngày . . .</t>
  </si>
  <si>
    <t>Ngày</t>
  </si>
  <si>
    <t>Chứng từ</t>
  </si>
  <si>
    <t>Diễn giải</t>
  </si>
  <si>
    <t>TK</t>
  </si>
  <si>
    <t>Số tiền USD</t>
  </si>
  <si>
    <t>Số tiền VND</t>
  </si>
  <si>
    <t>Ghi
Sổ</t>
  </si>
  <si>
    <t>Số</t>
  </si>
  <si>
    <t>DU</t>
  </si>
  <si>
    <t>Nợ</t>
  </si>
  <si>
    <t>Có</t>
  </si>
  <si>
    <t>SỐ DƯ ĐẦU KỲ</t>
  </si>
  <si>
    <t>Mã đối tượng</t>
  </si>
  <si>
    <t>Loại</t>
  </si>
  <si>
    <t>C.từ</t>
  </si>
  <si>
    <t>Mẫu số S20-DN</t>
  </si>
  <si>
    <t>(Ban hành theo TT số 200/2014/TT-BTC</t>
  </si>
  <si>
    <t>ngày 22/12/2014 của Bộ Tài Chính)</t>
  </si>
  <si>
    <t>PT</t>
  </si>
  <si>
    <t>00369/12/25</t>
  </si>
  <si>
    <t>Thu tiền viện phí phòng cấp cứu 115 ngày 10/12/2025 (0h00-7h00)</t>
  </si>
  <si>
    <t/>
  </si>
  <si>
    <t>KHACHKCB</t>
  </si>
  <si>
    <t>1311</t>
  </si>
  <si>
    <t>PC</t>
  </si>
  <si>
    <t>00048/12/25</t>
  </si>
  <si>
    <t>Thanh toán chi phí phát sinh cho Vũ ID367 - công tác phí đưa đón đoàn đi Phú Yên viếng tang ngày 05-07/12/25</t>
  </si>
  <si>
    <t>CHUNG</t>
  </si>
  <si>
    <t>6428</t>
  </si>
  <si>
    <t>Thanh toán chi phí phát sinh cho Vũ ID367 - rửa xe, đưa đón chuyên gia ăn sáng, cà phê</t>
  </si>
  <si>
    <t>811</t>
  </si>
  <si>
    <t>00049/12/25</t>
  </si>
  <si>
    <t>Nộp tiền vào TKNH - MB</t>
  </si>
  <si>
    <t>MB</t>
  </si>
  <si>
    <t>11213</t>
  </si>
  <si>
    <t>00050/12/25</t>
  </si>
  <si>
    <t>Tạm ứng chi phí công việc - Trần Gia Phú ID5</t>
  </si>
  <si>
    <t>00005</t>
  </si>
  <si>
    <t>141</t>
  </si>
  <si>
    <t>00051/12/25</t>
  </si>
  <si>
    <t>Hoàn tiền viện phí BN Nguyễn Thị Thu (mã KCB 2500305877) - BN BLVP ra viện ngày 10/12/25</t>
  </si>
  <si>
    <t>00052/12/25</t>
  </si>
  <si>
    <t>Hoàn tiền viện phí BN BÙI NGỌC ÁNH (mã KCB 2500306817) - Tổ BLVP ra viện ngày 10/12/25</t>
  </si>
  <si>
    <t>00370/12/25</t>
  </si>
  <si>
    <t>Thu tiền viện phí Phòng khám A232 ngày 10/12/2025</t>
  </si>
  <si>
    <t>00053/12/25</t>
  </si>
  <si>
    <t>Hoàn tiền viện phí BN DƯƠNG ĐÌNH VƯƠNG (mã KCB 2500310642) - Tổ BLVP ra viện ngày 10/12/25</t>
  </si>
  <si>
    <t>00371/12/25</t>
  </si>
  <si>
    <t>Thu tiền viện phí ĐV Nội soi TDCN ngày 10/12/2025</t>
  </si>
  <si>
    <t>00372/12/25</t>
  </si>
  <si>
    <t>Thu tiền viện phí Phòng khám A107 ngày 10/12/2025</t>
  </si>
  <si>
    <t>00373/12/25</t>
  </si>
  <si>
    <t>Thu tiền viện phí Khoa Nhi ngày 10/12/2025</t>
  </si>
  <si>
    <t>00374/12/25</t>
  </si>
  <si>
    <t>Thu tiền bán suất ăn ca tối ngày 09/12 &amp; ca sáng ngày 10/12/2025</t>
  </si>
  <si>
    <t>CANTIN</t>
  </si>
  <si>
    <t>00375/12/25</t>
  </si>
  <si>
    <t>Thu tiền viện phí Khoa Nội TH-TM ngày 10/12/2025</t>
  </si>
  <si>
    <t>00376/12/25</t>
  </si>
  <si>
    <t>Thu tiền siêu thị ngày 09/12/2025</t>
  </si>
  <si>
    <t>SIEUTHI</t>
  </si>
  <si>
    <t>00377/12/25</t>
  </si>
  <si>
    <t>Thu tiền nhà thuốc ngày 09/12/2025</t>
  </si>
  <si>
    <t>NHATHUOC</t>
  </si>
  <si>
    <t>00378/12/25</t>
  </si>
  <si>
    <t>Thu tiền viện phí Phòng khám A219 ngày 10/12/2025</t>
  </si>
  <si>
    <t>00379/12/25</t>
  </si>
  <si>
    <t>Thu tiền viện phí Phòng khám A104 ngày 10/12/2025</t>
  </si>
  <si>
    <t>00380/12/25</t>
  </si>
  <si>
    <t>Thu tiền viện phí Phòng khám A102 ngày 10/12/2025</t>
  </si>
  <si>
    <t>00381/12/25</t>
  </si>
  <si>
    <t>Thu tiền viện phí Khoa Sản ngày 10/12/2025</t>
  </si>
  <si>
    <t>00382/12/25</t>
  </si>
  <si>
    <t>Thu tiền viện phí Phòng khám A214 ngày 10/12/2025</t>
  </si>
  <si>
    <t>00383/12/25</t>
  </si>
  <si>
    <t>Thu tiền viện phí Phòng khám A113 ngày 10/12/2025</t>
  </si>
  <si>
    <t>00384/12/25</t>
  </si>
  <si>
    <t>Thu tiền viện phí Khoa PHCN-YHCT ngày 10/12/2025</t>
  </si>
  <si>
    <t>00385/12/25</t>
  </si>
  <si>
    <t>Thu tiền viện phí Phòng khám A108 ngày 10/12/2025</t>
  </si>
  <si>
    <t>00386/12/25</t>
  </si>
  <si>
    <t>Thu tiền ĐV Da liễu ngày 10/12/2025</t>
  </si>
  <si>
    <t>DALIEU</t>
  </si>
  <si>
    <t>00387/12/25</t>
  </si>
  <si>
    <t>Thu tiền gửi xe từ 16h15 ngày 09/12 - 16h15 ngày 10/12/2025</t>
  </si>
  <si>
    <t>GUIXE</t>
  </si>
  <si>
    <t>00388/12/25</t>
  </si>
  <si>
    <t>Thu tiền viện phí Phòng khám A230 ngày 10/12/2025</t>
  </si>
  <si>
    <t>00389/12/25</t>
  </si>
  <si>
    <t>Thu tiền viện phí Phòng khám A111 ngày 10/12/2025</t>
  </si>
  <si>
    <t>00390/12/25</t>
  </si>
  <si>
    <t>Thu tiền viện phí Khoa Liên chuyên khoa ngày 10/12/2025</t>
  </si>
  <si>
    <t>00391/12/25</t>
  </si>
  <si>
    <t>Thu tiền viện phí Khoa Ngoại TH ngày 10/12/2025</t>
  </si>
  <si>
    <t>00392/12/25</t>
  </si>
  <si>
    <t>Thu tiền viện phí Phòng khám A545 ngày 10/12/2025</t>
  </si>
  <si>
    <t>00393/12/25</t>
  </si>
  <si>
    <t>Thu tiền ĐV Tiêm chủng ngày 10/12/2025</t>
  </si>
  <si>
    <t>TIEMCHUNG</t>
  </si>
  <si>
    <t>00394/12/25</t>
  </si>
  <si>
    <t>Thu tiền viện phí Phòng khám A248 ngày 10/12/2025</t>
  </si>
  <si>
    <t>00395/12/25</t>
  </si>
  <si>
    <t>Thu tiền viện phí Phòng khám A122 ngày 10/12/2025</t>
  </si>
  <si>
    <t>00396/12/25</t>
  </si>
  <si>
    <t>Thu tiền viện phí Phòng khám A216 ngày 10/12/2025</t>
  </si>
  <si>
    <t>00397/12/25</t>
  </si>
  <si>
    <t>Thu tiền viện phí Phòng khám A223 ngày 10/12/2025</t>
  </si>
  <si>
    <t>00398/12/25</t>
  </si>
  <si>
    <t>Thu tiền viện phí Phòng khám A103 ngày 10/12/2025</t>
  </si>
  <si>
    <t>00399/12/25</t>
  </si>
  <si>
    <t>Thu tiền viện phí Phòng khám A226 ngày 10/12/2025</t>
  </si>
  <si>
    <t>00400/12/25</t>
  </si>
  <si>
    <t>Thu tiền viện phí Phòng khám A233 ngày 10/12/2025</t>
  </si>
  <si>
    <t>00401/12/25</t>
  </si>
  <si>
    <t>Thu tiền viện phí Phòng khám A220 ngày 10/12/2025</t>
  </si>
  <si>
    <t>00402/12/25</t>
  </si>
  <si>
    <t>Thu tiền viện phí Phòng khám A249 ngày 10/12/2025</t>
  </si>
  <si>
    <t>00403/12/25</t>
  </si>
  <si>
    <t>Thu tiền viện phí Khoa Chấn thương chỉnh hình ngày 10/12/2025</t>
  </si>
  <si>
    <t>00404/12/25</t>
  </si>
  <si>
    <t>Thu tiền viện phí phòng cấp cứu 115 ngày 10/12/2025 (07h00-23h59)</t>
  </si>
  <si>
    <t>00405/12/25</t>
  </si>
  <si>
    <t>Thu tiền viện phí Phòng khám A121 ngày 10/12/2025</t>
  </si>
  <si>
    <t>00407/12/25</t>
  </si>
  <si>
    <t>Thu tiền viện phí Khoa Nội TH-TM tua trực ngày 10/12/25</t>
  </si>
  <si>
    <t>00406/12/25</t>
  </si>
  <si>
    <t>Thu tiền viện phí Khoa HSTC-CĐ ngày 10/12/2025</t>
  </si>
  <si>
    <t>00400A/12/25</t>
  </si>
  <si>
    <t>Thu hoàn ứng - Trương Hoài Lam ID929</t>
  </si>
  <si>
    <t>00929</t>
  </si>
  <si>
    <t>00051A/12/25</t>
  </si>
  <si>
    <t>Chi trả phí thu hút nhân lực - Trương Hoài Lam ID929</t>
  </si>
  <si>
    <t>3341</t>
  </si>
  <si>
    <t>Mã hiệu : 1111-Tiền Việt Nam</t>
  </si>
  <si>
    <t>Nguyễn Thị Hồng Luyến</t>
  </si>
  <si>
    <t>Nguyễn Thi</t>
  </si>
  <si>
    <t>Công ty TNHH Bệnh viện Hùng Vương Gia Lai</t>
  </si>
  <si>
    <t>236A Lê Duẩn, Phường Hội Phú, Tỉnh Gia Lai</t>
  </si>
  <si>
    <t>Mã số thuế : 5901136679</t>
  </si>
  <si>
    <t>Từ ngày 10/12/25 đến ngày 10/12/25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</si>
</sst>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Times New Roman"/>
      <family val="1"/>
    </font>
    <font>
      <sz val="10"/>
      <name val="Times New Roman"/>
      <family val="1"/>
    </font>
    <font>
      <sz val="12"/>
      <name val="Tahoma"/>
      <family val="2"/>
    </font>
    <font>
      <b/>
      <sz val="9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sz val="10.5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78">
    <xf numFmtId="0" fontId="0" fillId="0" borderId="0" xfId="0"/>
    <xf numFmtId="0" fontId="1" fillId="0" borderId="0" xfId="1"/>
    <xf numFmtId="14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justify" vertical="center"/>
    </xf>
    <xf numFmtId="49" fontId="2" fillId="0" borderId="1" xfId="1" applyNumberFormat="1" applyFont="1" applyBorder="1" applyAlignment="1">
      <alignment horizontal="center" vertical="center"/>
    </xf>
    <xf numFmtId="2" fontId="4" fillId="0" borderId="0" xfId="1" applyNumberFormat="1" applyFont="1" applyAlignment="1">
      <alignment horizontal="center" vertical="center"/>
    </xf>
    <xf numFmtId="2" fontId="4" fillId="0" borderId="0" xfId="1" applyNumberFormat="1" applyFont="1" applyAlignment="1">
      <alignment horizontal="justify" vertical="center"/>
    </xf>
    <xf numFmtId="2" fontId="4" fillId="0" borderId="0" xfId="1" applyNumberFormat="1" applyFont="1" applyAlignment="1">
      <alignment horizontal="justify"/>
    </xf>
    <xf numFmtId="2" fontId="4" fillId="0" borderId="0" xfId="1" applyNumberFormat="1" applyFont="1" applyAlignment="1">
      <alignment horizontal="right" vertical="center"/>
    </xf>
    <xf numFmtId="2" fontId="4" fillId="0" borderId="0" xfId="2" applyNumberFormat="1" applyFont="1" applyFill="1" applyBorder="1" applyAlignment="1">
      <alignment horizontal="right" vertical="center"/>
    </xf>
    <xf numFmtId="2" fontId="3" fillId="0" borderId="0" xfId="1" applyNumberFormat="1" applyFont="1"/>
    <xf numFmtId="0" fontId="2" fillId="0" borderId="0" xfId="1" applyFont="1"/>
    <xf numFmtId="37" fontId="2" fillId="0" borderId="0" xfId="1" applyNumberFormat="1" applyFont="1"/>
    <xf numFmtId="38" fontId="2" fillId="0" borderId="0" xfId="1" applyNumberFormat="1" applyFont="1"/>
    <xf numFmtId="14" fontId="5" fillId="0" borderId="2" xfId="1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horizontal="justify" vertical="center"/>
    </xf>
    <xf numFmtId="14" fontId="3" fillId="0" borderId="0" xfId="1" applyNumberFormat="1" applyFont="1" applyAlignment="1">
      <alignment horizontal="centerContinuous"/>
    </xf>
    <xf numFmtId="38" fontId="3" fillId="0" borderId="0" xfId="1" applyNumberFormat="1" applyFont="1" applyAlignment="1">
      <alignment horizontal="centerContinuous" vertical="center"/>
    </xf>
    <xf numFmtId="0" fontId="6" fillId="0" borderId="0" xfId="1" applyFont="1" applyAlignment="1">
      <alignment horizontal="centerContinuous" vertical="center"/>
    </xf>
    <xf numFmtId="0" fontId="3" fillId="0" borderId="0" xfId="1" applyFont="1" applyAlignment="1">
      <alignment horizontal="centerContinuous" vertical="center"/>
    </xf>
    <xf numFmtId="38" fontId="6" fillId="0" borderId="0" xfId="1" applyNumberFormat="1" applyFont="1" applyAlignment="1">
      <alignment horizontal="centerContinuous" vertical="center"/>
    </xf>
    <xf numFmtId="14" fontId="7" fillId="0" borderId="0" xfId="1" applyNumberFormat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justify" vertical="center"/>
    </xf>
    <xf numFmtId="37" fontId="5" fillId="0" borderId="0" xfId="1" applyNumberFormat="1" applyFont="1" applyAlignment="1">
      <alignment horizontal="right" vertical="center"/>
    </xf>
    <xf numFmtId="38" fontId="5" fillId="0" borderId="0" xfId="1" applyNumberFormat="1" applyFont="1" applyAlignment="1">
      <alignment horizontal="right" vertical="center"/>
    </xf>
    <xf numFmtId="49" fontId="8" fillId="0" borderId="0" xfId="1" applyNumberFormat="1" applyFont="1" applyAlignment="1">
      <alignment horizontal="centerContinuous" vertical="center"/>
    </xf>
    <xf numFmtId="38" fontId="8" fillId="0" borderId="0" xfId="1" applyNumberFormat="1" applyFont="1" applyAlignment="1">
      <alignment horizontal="centerContinuous" vertical="center"/>
    </xf>
    <xf numFmtId="14" fontId="3" fillId="0" borderId="0" xfId="1" applyNumberFormat="1" applyFont="1" applyAlignment="1">
      <alignment horizontal="left"/>
    </xf>
    <xf numFmtId="14" fontId="3" fillId="0" borderId="0" xfId="1" applyNumberFormat="1" applyFont="1" applyAlignment="1">
      <alignment horizontal="centerContinuous" vertical="center"/>
    </xf>
    <xf numFmtId="14" fontId="2" fillId="0" borderId="0" xfId="1" applyNumberFormat="1" applyFont="1" applyAlignment="1">
      <alignment horizontal="centerContinuous" vertical="center"/>
    </xf>
    <xf numFmtId="37" fontId="3" fillId="0" borderId="0" xfId="1" applyNumberFormat="1" applyFont="1" applyAlignment="1">
      <alignment horizontal="centerContinuous" vertical="center"/>
    </xf>
    <xf numFmtId="0" fontId="3" fillId="0" borderId="0" xfId="1" applyFont="1" applyAlignment="1">
      <alignment horizontal="left" vertical="center"/>
    </xf>
    <xf numFmtId="49" fontId="3" fillId="0" borderId="0" xfId="1" applyNumberFormat="1" applyFont="1" applyAlignment="1">
      <alignment horizontal="centerContinuous" vertical="center"/>
    </xf>
    <xf numFmtId="49" fontId="3" fillId="0" borderId="0" xfId="1" applyNumberFormat="1" applyFont="1" applyAlignment="1">
      <alignment horizontal="left"/>
    </xf>
    <xf numFmtId="49" fontId="2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centerContinuous" vertical="center"/>
    </xf>
    <xf numFmtId="37" fontId="8" fillId="0" borderId="0" xfId="1" applyNumberFormat="1" applyFont="1" applyAlignment="1">
      <alignment horizontal="centerContinuous" vertical="center"/>
    </xf>
    <xf numFmtId="37" fontId="8" fillId="0" borderId="0" xfId="1" applyNumberFormat="1" applyFont="1" applyAlignment="1">
      <alignment horizontal="centerContinuous"/>
    </xf>
    <xf numFmtId="0" fontId="8" fillId="0" borderId="0" xfId="1" applyFont="1" applyAlignment="1">
      <alignment horizontal="centerContinuous" vertical="justify"/>
    </xf>
    <xf numFmtId="0" fontId="3" fillId="0" borderId="0" xfId="1" applyFont="1" applyAlignment="1">
      <alignment horizontal="centerContinuous"/>
    </xf>
    <xf numFmtId="37" fontId="8" fillId="0" borderId="0" xfId="1" applyNumberFormat="1" applyFont="1" applyAlignment="1">
      <alignment horizontal="centerContinuous" vertical="justify"/>
    </xf>
    <xf numFmtId="38" fontId="8" fillId="0" borderId="0" xfId="1" applyNumberFormat="1" applyFont="1" applyAlignment="1">
      <alignment horizontal="centerContinuous" vertical="justify"/>
    </xf>
    <xf numFmtId="14" fontId="6" fillId="0" borderId="0" xfId="1" applyNumberFormat="1" applyFont="1" applyAlignment="1">
      <alignment horizontal="centerContinuous" vertical="center"/>
    </xf>
    <xf numFmtId="0" fontId="9" fillId="0" borderId="0" xfId="1" applyFont="1" applyAlignment="1">
      <alignment horizontal="centerContinuous" vertical="center"/>
    </xf>
    <xf numFmtId="37" fontId="9" fillId="0" borderId="0" xfId="1" applyNumberFormat="1" applyFont="1" applyAlignment="1">
      <alignment horizontal="centerContinuous" vertical="center"/>
    </xf>
    <xf numFmtId="38" fontId="9" fillId="0" borderId="0" xfId="1" applyNumberFormat="1" applyFont="1" applyAlignment="1">
      <alignment horizontal="centerContinuous" vertical="center"/>
    </xf>
    <xf numFmtId="14" fontId="3" fillId="0" borderId="0" xfId="1" applyNumberFormat="1" applyFont="1"/>
    <xf numFmtId="0" fontId="3" fillId="0" borderId="0" xfId="1" applyFont="1" applyAlignment="1">
      <alignment vertical="justify"/>
    </xf>
    <xf numFmtId="37" fontId="3" fillId="0" borderId="0" xfId="1" applyNumberFormat="1" applyFont="1" applyAlignment="1">
      <alignment vertical="justify"/>
    </xf>
    <xf numFmtId="38" fontId="3" fillId="0" borderId="0" xfId="1" applyNumberFormat="1" applyFont="1" applyAlignment="1">
      <alignment vertical="justify"/>
    </xf>
    <xf numFmtId="14" fontId="5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justify" vertical="center"/>
    </xf>
    <xf numFmtId="0" fontId="5" fillId="0" borderId="1" xfId="1" applyFont="1" applyBorder="1" applyAlignment="1">
      <alignment horizontal="center" vertical="center"/>
    </xf>
    <xf numFmtId="37" fontId="5" fillId="0" borderId="1" xfId="1" applyNumberFormat="1" applyFont="1" applyBorder="1" applyAlignment="1">
      <alignment horizontal="right" vertical="center"/>
    </xf>
    <xf numFmtId="39" fontId="5" fillId="0" borderId="1" xfId="1" applyNumberFormat="1" applyFont="1" applyBorder="1" applyAlignment="1">
      <alignment horizontal="right" vertical="center"/>
    </xf>
    <xf numFmtId="39" fontId="5" fillId="0" borderId="1" xfId="2" applyNumberFormat="1" applyFont="1" applyFill="1" applyBorder="1" applyAlignment="1">
      <alignment horizontal="right" vertical="center"/>
    </xf>
    <xf numFmtId="38" fontId="5" fillId="0" borderId="1" xfId="1" applyNumberFormat="1" applyFont="1" applyBorder="1" applyAlignment="1">
      <alignment horizontal="right" vertical="center"/>
    </xf>
    <xf numFmtId="38" fontId="5" fillId="0" borderId="1" xfId="2" applyNumberFormat="1" applyFont="1" applyFill="1" applyBorder="1" applyAlignment="1">
      <alignment horizontal="right" vertical="center"/>
    </xf>
    <xf numFmtId="0" fontId="3" fillId="0" borderId="0" xfId="1" applyFont="1"/>
    <xf numFmtId="2" fontId="10" fillId="0" borderId="3" xfId="1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Continuous" vertical="center" wrapText="1"/>
    </xf>
    <xf numFmtId="2" fontId="10" fillId="0" borderId="5" xfId="1" applyNumberFormat="1" applyFont="1" applyBorder="1" applyAlignment="1">
      <alignment horizontal="centerContinuous" vertical="center" wrapText="1"/>
    </xf>
    <xf numFmtId="2" fontId="10" fillId="0" borderId="3" xfId="1" applyNumberFormat="1" applyFont="1" applyBorder="1" applyAlignment="1">
      <alignment horizontal="center" vertical="center"/>
    </xf>
    <xf numFmtId="2" fontId="10" fillId="0" borderId="3" xfId="1" applyNumberFormat="1" applyFont="1" applyBorder="1" applyAlignment="1">
      <alignment horizontal="centerContinuous" vertical="center"/>
    </xf>
    <xf numFmtId="2" fontId="10" fillId="0" borderId="3" xfId="1" applyNumberFormat="1" applyFont="1" applyBorder="1" applyAlignment="1">
      <alignment horizontal="centerContinuous" vertical="center" wrapText="1"/>
    </xf>
    <xf numFmtId="2" fontId="10" fillId="0" borderId="2" xfId="1" applyNumberFormat="1" applyFont="1" applyBorder="1" applyAlignment="1">
      <alignment horizontal="centerContinuous"/>
    </xf>
    <xf numFmtId="2" fontId="10" fillId="0" borderId="6" xfId="1" applyNumberFormat="1" applyFont="1" applyBorder="1" applyAlignment="1">
      <alignment horizontal="center" vertical="center" wrapText="1"/>
    </xf>
    <xf numFmtId="2" fontId="10" fillId="0" borderId="6" xfId="1" applyNumberFormat="1" applyFont="1" applyBorder="1" applyAlignment="1">
      <alignment horizontal="center" vertical="center"/>
    </xf>
    <xf numFmtId="2" fontId="10" fillId="0" borderId="2" xfId="1" applyNumberFormat="1" applyFont="1" applyBorder="1" applyAlignment="1">
      <alignment horizontal="center" vertical="center" wrapText="1"/>
    </xf>
    <xf numFmtId="2" fontId="10" fillId="0" borderId="2" xfId="1" applyNumberFormat="1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right" vertical="center" shrinkToFit="1"/>
    </xf>
    <xf numFmtId="3" fontId="2" fillId="0" borderId="1" xfId="2" applyNumberFormat="1" applyFont="1" applyFill="1" applyBorder="1" applyAlignment="1">
      <alignment horizontal="right" vertical="center" shrinkToFit="1"/>
    </xf>
    <xf numFmtId="39" fontId="5" fillId="0" borderId="2" xfId="1" applyNumberFormat="1" applyFont="1" applyBorder="1" applyAlignment="1">
      <alignment horizontal="right" vertical="center" shrinkToFit="1"/>
    </xf>
    <xf numFmtId="38" fontId="5" fillId="0" borderId="2" xfId="1" applyNumberFormat="1" applyFont="1" applyBorder="1" applyAlignment="1">
      <alignment horizontal="right" vertical="center" shrinkToFit="1"/>
    </xf>
    <xf numFmtId="0" fontId="2" fillId="0" borderId="1" xfId="1" applyFont="1" applyBorder="1" applyAlignment="1">
      <alignment horizontal="justify" vertical="center" wrapText="1"/>
    </xf>
    <xf numFmtId="49" fontId="8" fillId="0" borderId="0" xfId="1" quotePrefix="1" applyNumberFormat="1" applyFont="1" applyAlignment="1">
      <alignment horizontal="centerContinuous" vertical="center"/>
    </xf>
  </cellXfs>
  <cellStyles count="3">
    <cellStyle name="Comma 2" xfId="2" xr:uid="{00000000-0005-0000-0000-000007000000}"/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"/>
  <sheetViews>
    <sheetView showGridLines="0" showZeros="0" workbookViewId="0">
      <selection activeCell="K3" sqref="K3"/>
    </sheetView>
  </sheetViews>
  <sheetFormatPr defaultColWidth="9.140625" defaultRowHeight="15" x14ac:dyDescent="0.25"/>
  <cols>
    <col min="1" max="1" width="7.7109375" customWidth="1"/>
    <col min="2" max="2" width="8.7109375" customWidth="1"/>
    <col min="3" max="3" width="7.7109375" customWidth="1"/>
    <col min="4" max="4" width="36.7109375" customWidth="1"/>
    <col min="5" max="6" width="10.7109375" customWidth="1"/>
    <col min="7" max="7" width="5.7109375" customWidth="1"/>
    <col min="8" max="11" width="12.7109375" customWidth="1"/>
  </cols>
  <sheetData>
    <row r="1" spans="1:12" x14ac:dyDescent="0.25">
      <c r="A1" s="2"/>
      <c r="B1" s="2"/>
      <c r="C1" s="2"/>
      <c r="D1" s="76"/>
      <c r="E1" s="3"/>
      <c r="F1" s="3"/>
      <c r="G1" s="4"/>
      <c r="H1" s="72"/>
      <c r="I1" s="73"/>
      <c r="J1" s="72"/>
      <c r="K1" s="73"/>
      <c r="L1" s="1"/>
    </row>
    <row r="2" spans="1:12" ht="15.75" x14ac:dyDescent="0.25">
      <c r="A2" s="5">
        <v>6</v>
      </c>
      <c r="B2" s="5">
        <v>6</v>
      </c>
      <c r="C2" s="6">
        <v>6</v>
      </c>
      <c r="D2" s="7">
        <v>25</v>
      </c>
      <c r="E2" s="6">
        <v>8</v>
      </c>
      <c r="F2" s="6">
        <v>8</v>
      </c>
      <c r="G2" s="8">
        <v>5</v>
      </c>
      <c r="H2" s="8">
        <v>10</v>
      </c>
      <c r="I2" s="9">
        <v>10</v>
      </c>
      <c r="J2" s="8">
        <v>10</v>
      </c>
      <c r="K2" s="9">
        <v>10</v>
      </c>
      <c r="L2" s="10" t="s">
        <v>0</v>
      </c>
    </row>
    <row r="3" spans="1:12" x14ac:dyDescent="0.25">
      <c r="A3" s="11"/>
      <c r="B3" s="11"/>
      <c r="C3" s="11"/>
      <c r="D3" s="11"/>
      <c r="E3" s="11"/>
      <c r="F3" s="11"/>
      <c r="G3" s="11"/>
      <c r="H3" s="12"/>
      <c r="I3" s="12"/>
      <c r="J3" s="13"/>
      <c r="K3" s="13"/>
      <c r="L3" s="1"/>
    </row>
    <row r="4" spans="1:12" x14ac:dyDescent="0.25">
      <c r="A4" s="14"/>
      <c r="B4" s="15"/>
      <c r="C4" s="14"/>
      <c r="D4" s="15" t="s">
        <v>1</v>
      </c>
      <c r="E4" s="15"/>
      <c r="F4" s="15"/>
      <c r="G4" s="16"/>
      <c r="H4" s="74"/>
      <c r="I4" s="74"/>
      <c r="J4" s="75"/>
      <c r="K4" s="75"/>
      <c r="L4" s="1"/>
    </row>
    <row r="5" spans="1:12" x14ac:dyDescent="0.25">
      <c r="A5" s="14"/>
      <c r="B5" s="15"/>
      <c r="C5" s="14"/>
      <c r="D5" s="15" t="s">
        <v>2</v>
      </c>
      <c r="E5" s="15"/>
      <c r="F5" s="15"/>
      <c r="G5" s="16"/>
      <c r="H5" s="74"/>
      <c r="I5" s="74"/>
      <c r="J5" s="75"/>
      <c r="K5" s="75"/>
      <c r="L5" s="1"/>
    </row>
    <row r="6" spans="1:12" x14ac:dyDescent="0.25">
      <c r="A6" s="1"/>
      <c r="B6" s="1"/>
      <c r="C6" s="1"/>
      <c r="D6" s="1"/>
      <c r="E6" s="1"/>
      <c r="F6" s="1"/>
      <c r="G6" s="1"/>
      <c r="H6" s="17"/>
      <c r="I6" s="17"/>
      <c r="J6" s="18" t="s">
        <v>3</v>
      </c>
      <c r="K6" s="18"/>
      <c r="L6" s="1"/>
    </row>
    <row r="7" spans="1:12" ht="15.75" x14ac:dyDescent="0.25">
      <c r="A7" s="19" t="s">
        <v>4</v>
      </c>
      <c r="B7" s="20"/>
      <c r="C7" s="20"/>
      <c r="D7" s="19" t="s">
        <v>5</v>
      </c>
      <c r="E7" s="19"/>
      <c r="F7" s="19"/>
      <c r="G7" s="19"/>
      <c r="H7" s="20"/>
      <c r="I7" s="20"/>
      <c r="J7" s="21" t="s">
        <v>6</v>
      </c>
      <c r="K7" s="18"/>
      <c r="L7" s="1"/>
    </row>
    <row r="8" spans="1:12" x14ac:dyDescent="0.25">
      <c r="A8" s="22"/>
      <c r="B8" s="22"/>
      <c r="C8" s="1"/>
      <c r="D8" s="23"/>
      <c r="E8" s="23"/>
      <c r="F8" s="23"/>
      <c r="G8" s="24"/>
      <c r="H8" s="25"/>
      <c r="I8" s="25"/>
      <c r="J8" s="26"/>
      <c r="K8" s="1"/>
      <c r="L8" s="1"/>
    </row>
    <row r="9" spans="1:12" x14ac:dyDescent="0.25">
      <c r="A9" s="22"/>
      <c r="B9" s="22"/>
      <c r="C9" s="1"/>
      <c r="D9" s="23"/>
      <c r="E9" s="23"/>
      <c r="F9" s="23"/>
      <c r="G9" s="24"/>
      <c r="H9" s="25"/>
      <c r="I9" s="25"/>
      <c r="J9" s="26"/>
      <c r="K9" s="1"/>
      <c r="L9" s="1"/>
    </row>
    <row r="10" spans="1:12" x14ac:dyDescent="0.25">
      <c r="A10" s="22"/>
      <c r="B10" s="22"/>
      <c r="C10" s="1"/>
      <c r="D10" s="23"/>
      <c r="E10" s="23"/>
      <c r="F10" s="23"/>
      <c r="G10" s="24"/>
      <c r="H10" s="25"/>
      <c r="I10" s="25"/>
      <c r="J10" s="26"/>
      <c r="K10" s="1"/>
      <c r="L10" s="1"/>
    </row>
    <row r="11" spans="1:12" x14ac:dyDescent="0.25">
      <c r="A11" s="22"/>
      <c r="B11" s="22"/>
      <c r="C11" s="1"/>
      <c r="D11" s="23"/>
      <c r="E11" s="23"/>
      <c r="F11" s="23"/>
      <c r="G11" s="24"/>
      <c r="H11" s="25"/>
      <c r="I11" s="25"/>
      <c r="J11" s="26"/>
      <c r="K11" s="1"/>
      <c r="L11" s="1"/>
    </row>
    <row r="12" spans="1:12" ht="15.75" x14ac:dyDescent="0.25">
      <c r="A12" s="77" t="s">
        <v>34</v>
      </c>
      <c r="B12" s="20"/>
      <c r="C12" s="20"/>
      <c r="D12" s="27" t="s">
        <v>147</v>
      </c>
      <c r="E12" s="27"/>
      <c r="F12" s="27"/>
      <c r="G12" s="19"/>
      <c r="H12" s="19"/>
      <c r="I12" s="19"/>
      <c r="J12" s="28" t="s">
        <v>148</v>
      </c>
      <c r="K12" s="21"/>
      <c r="L12" s="1"/>
    </row>
    <row r="13" spans="1:12" x14ac:dyDescent="0.25">
      <c r="A13" s="29" t="s">
        <v>149</v>
      </c>
      <c r="B13" s="29"/>
      <c r="C13" s="29"/>
      <c r="D13" s="29"/>
      <c r="E13" s="30"/>
      <c r="F13" s="30"/>
      <c r="G13" s="31" t="s">
        <v>28</v>
      </c>
      <c r="H13" s="30"/>
      <c r="I13" s="32"/>
      <c r="J13" s="18"/>
      <c r="K13" s="18"/>
      <c r="L13" s="1"/>
    </row>
    <row r="14" spans="1:12" x14ac:dyDescent="0.25">
      <c r="A14" s="29" t="s">
        <v>150</v>
      </c>
      <c r="B14" s="29"/>
      <c r="C14" s="29"/>
      <c r="D14" s="29"/>
      <c r="E14" s="30"/>
      <c r="F14" s="30"/>
      <c r="G14" s="31" t="s">
        <v>29</v>
      </c>
      <c r="H14" s="30"/>
      <c r="I14" s="32"/>
      <c r="J14" s="18"/>
      <c r="K14" s="18"/>
      <c r="L14" s="1"/>
    </row>
    <row r="15" spans="1:12" x14ac:dyDescent="0.25">
      <c r="A15" s="33" t="s">
        <v>151</v>
      </c>
      <c r="B15" s="34"/>
      <c r="C15" s="34"/>
      <c r="D15" s="35"/>
      <c r="E15" s="34"/>
      <c r="F15" s="34"/>
      <c r="G15" s="36" t="s">
        <v>30</v>
      </c>
      <c r="H15" s="34"/>
      <c r="I15" s="32"/>
      <c r="J15" s="18"/>
      <c r="K15" s="18"/>
      <c r="L15" s="1"/>
    </row>
    <row r="16" spans="1:12" ht="15.75" x14ac:dyDescent="0.25">
      <c r="A16" s="37" t="s">
        <v>10</v>
      </c>
      <c r="B16" s="20"/>
      <c r="C16" s="30"/>
      <c r="D16" s="37"/>
      <c r="E16" s="37"/>
      <c r="F16" s="37"/>
      <c r="G16" s="37"/>
      <c r="H16" s="37"/>
      <c r="I16" s="38"/>
      <c r="J16" s="28"/>
      <c r="K16" s="28"/>
      <c r="L16" s="1"/>
    </row>
    <row r="17" spans="1:12" ht="15.75" x14ac:dyDescent="0.25">
      <c r="A17" s="39" t="s">
        <v>146</v>
      </c>
      <c r="B17" s="40"/>
      <c r="C17" s="40"/>
      <c r="D17" s="41"/>
      <c r="E17" s="41"/>
      <c r="F17" s="41"/>
      <c r="G17" s="40"/>
      <c r="H17" s="40"/>
      <c r="I17" s="42"/>
      <c r="J17" s="43"/>
      <c r="K17" s="43"/>
    </row>
    <row r="18" spans="1:12" ht="15.75" x14ac:dyDescent="0.25">
      <c r="A18" s="44" t="s">
        <v>152</v>
      </c>
      <c r="B18" s="19"/>
      <c r="C18" s="44"/>
      <c r="D18" s="45"/>
      <c r="E18" s="45"/>
      <c r="F18" s="45"/>
      <c r="G18" s="45"/>
      <c r="H18" s="45"/>
      <c r="I18" s="46"/>
      <c r="J18" s="47"/>
      <c r="K18" s="47"/>
    </row>
    <row r="19" spans="1:12" x14ac:dyDescent="0.25">
      <c r="A19" s="48"/>
      <c r="B19" s="1"/>
      <c r="C19" s="48"/>
      <c r="D19" s="49"/>
      <c r="E19" s="49"/>
      <c r="F19" s="49"/>
      <c r="G19" s="49"/>
      <c r="H19" s="49"/>
      <c r="I19" s="50"/>
      <c r="J19" s="51"/>
      <c r="K19" s="51"/>
    </row>
    <row r="20" spans="1:12" x14ac:dyDescent="0.25">
      <c r="A20" s="61" t="s">
        <v>26</v>
      </c>
      <c r="B20" s="62" t="s">
        <v>14</v>
      </c>
      <c r="C20" s="63"/>
      <c r="D20" s="64" t="s">
        <v>15</v>
      </c>
      <c r="E20" s="65" t="s">
        <v>25</v>
      </c>
      <c r="F20" s="65"/>
      <c r="G20" s="66" t="s">
        <v>16</v>
      </c>
      <c r="H20" s="67" t="s">
        <v>17</v>
      </c>
      <c r="I20" s="67"/>
      <c r="J20" s="67" t="s">
        <v>18</v>
      </c>
      <c r="K20" s="67"/>
    </row>
    <row r="21" spans="1:12" x14ac:dyDescent="0.25">
      <c r="A21" s="68" t="s">
        <v>27</v>
      </c>
      <c r="B21" s="69" t="s">
        <v>20</v>
      </c>
      <c r="C21" s="69" t="s">
        <v>13</v>
      </c>
      <c r="D21" s="69"/>
      <c r="E21" s="70" t="s">
        <v>22</v>
      </c>
      <c r="F21" s="70" t="s">
        <v>23</v>
      </c>
      <c r="G21" s="69" t="s">
        <v>21</v>
      </c>
      <c r="H21" s="71" t="s">
        <v>22</v>
      </c>
      <c r="I21" s="71" t="s">
        <v>23</v>
      </c>
      <c r="J21" s="71" t="s">
        <v>22</v>
      </c>
      <c r="K21" s="71" t="s">
        <v>23</v>
      </c>
    </row>
    <row r="22" spans="1:12" x14ac:dyDescent="0.25">
      <c r="A22" s="52"/>
      <c r="B22" s="52"/>
      <c r="C22" s="53"/>
      <c r="D22" s="54" t="s">
        <v>24</v>
      </c>
      <c r="E22" s="54"/>
      <c r="F22" s="54">
        <v>0</v>
      </c>
      <c r="G22" s="55">
        <v>0</v>
      </c>
      <c r="H22" s="56">
        <v>0</v>
      </c>
      <c r="I22" s="57">
        <v>0</v>
      </c>
      <c r="J22" s="58">
        <v>23445750615</v>
      </c>
      <c r="K22" s="59">
        <v>0</v>
      </c>
    </row>
    <row r="23" spans="1:12" ht="24" x14ac:dyDescent="0.25">
      <c r="A23" s="2" t="s">
        <v>31</v>
      </c>
      <c r="B23" s="2" t="s">
        <v>32</v>
      </c>
      <c r="C23" s="2">
        <v>46001</v>
      </c>
      <c r="D23" s="76" t="s">
        <v>33</v>
      </c>
      <c r="E23" s="3" t="s">
        <v>34</v>
      </c>
      <c r="F23" s="3" t="s">
        <v>35</v>
      </c>
      <c r="G23" s="4" t="s">
        <v>36</v>
      </c>
      <c r="H23" s="72">
        <v>0</v>
      </c>
      <c r="I23" s="73">
        <v>0</v>
      </c>
      <c r="J23" s="72">
        <v>6460000</v>
      </c>
      <c r="K23" s="73">
        <v>0</v>
      </c>
      <c r="L23" s="1"/>
    </row>
    <row r="24" spans="1:12" ht="36" x14ac:dyDescent="0.25">
      <c r="A24" s="2" t="s">
        <v>37</v>
      </c>
      <c r="B24" s="2" t="s">
        <v>38</v>
      </c>
      <c r="C24" s="2">
        <v>46001</v>
      </c>
      <c r="D24" s="76" t="s">
        <v>39</v>
      </c>
      <c r="E24" s="3" t="s">
        <v>40</v>
      </c>
      <c r="F24" s="3" t="s">
        <v>34</v>
      </c>
      <c r="G24" s="4" t="s">
        <v>41</v>
      </c>
      <c r="H24" s="72">
        <v>0</v>
      </c>
      <c r="I24" s="73">
        <v>0</v>
      </c>
      <c r="J24" s="72">
        <v>0</v>
      </c>
      <c r="K24" s="73">
        <v>900000</v>
      </c>
      <c r="L24" s="1"/>
    </row>
    <row r="25" spans="1:12" ht="24" x14ac:dyDescent="0.25">
      <c r="A25" s="2" t="s">
        <v>37</v>
      </c>
      <c r="B25" s="2" t="s">
        <v>38</v>
      </c>
      <c r="C25" s="2">
        <v>46001</v>
      </c>
      <c r="D25" s="76" t="s">
        <v>42</v>
      </c>
      <c r="E25" s="3" t="s">
        <v>40</v>
      </c>
      <c r="F25" s="3" t="s">
        <v>34</v>
      </c>
      <c r="G25" s="4" t="s">
        <v>43</v>
      </c>
      <c r="H25" s="72">
        <v>0</v>
      </c>
      <c r="I25" s="73">
        <v>0</v>
      </c>
      <c r="J25" s="72">
        <v>0</v>
      </c>
      <c r="K25" s="73">
        <v>572000</v>
      </c>
      <c r="L25" s="1"/>
    </row>
    <row r="26" spans="1:12" x14ac:dyDescent="0.25">
      <c r="A26" s="2" t="s">
        <v>37</v>
      </c>
      <c r="B26" s="2" t="s">
        <v>44</v>
      </c>
      <c r="C26" s="2">
        <v>46001</v>
      </c>
      <c r="D26" s="76" t="s">
        <v>45</v>
      </c>
      <c r="E26" s="3" t="s">
        <v>46</v>
      </c>
      <c r="F26" s="3" t="s">
        <v>34</v>
      </c>
      <c r="G26" s="4" t="s">
        <v>47</v>
      </c>
      <c r="H26" s="72">
        <v>0</v>
      </c>
      <c r="I26" s="73">
        <v>0</v>
      </c>
      <c r="J26" s="72">
        <v>0</v>
      </c>
      <c r="K26" s="73">
        <v>500000000</v>
      </c>
      <c r="L26" s="1"/>
    </row>
    <row r="27" spans="1:12" x14ac:dyDescent="0.25">
      <c r="A27" s="2" t="s">
        <v>37</v>
      </c>
      <c r="B27" s="2" t="s">
        <v>48</v>
      </c>
      <c r="C27" s="2">
        <v>46001</v>
      </c>
      <c r="D27" s="76" t="s">
        <v>49</v>
      </c>
      <c r="E27" s="3" t="s">
        <v>50</v>
      </c>
      <c r="F27" s="3" t="s">
        <v>34</v>
      </c>
      <c r="G27" s="4" t="s">
        <v>51</v>
      </c>
      <c r="H27" s="72">
        <v>0</v>
      </c>
      <c r="I27" s="73">
        <v>0</v>
      </c>
      <c r="J27" s="72">
        <v>0</v>
      </c>
      <c r="K27" s="73">
        <v>187500000</v>
      </c>
      <c r="L27" s="1"/>
    </row>
    <row r="28" spans="1:12" ht="24" x14ac:dyDescent="0.25">
      <c r="A28" s="2" t="s">
        <v>37</v>
      </c>
      <c r="B28" s="2" t="s">
        <v>52</v>
      </c>
      <c r="C28" s="2">
        <v>46001</v>
      </c>
      <c r="D28" s="76" t="s">
        <v>53</v>
      </c>
      <c r="E28" s="3" t="s">
        <v>35</v>
      </c>
      <c r="F28" s="3" t="s">
        <v>34</v>
      </c>
      <c r="G28" s="4" t="s">
        <v>36</v>
      </c>
      <c r="H28" s="72">
        <v>0</v>
      </c>
      <c r="I28" s="73">
        <v>0</v>
      </c>
      <c r="J28" s="72">
        <v>0</v>
      </c>
      <c r="K28" s="73">
        <v>909231</v>
      </c>
      <c r="L28" s="1"/>
    </row>
    <row r="29" spans="1:12" ht="36" x14ac:dyDescent="0.25">
      <c r="A29" s="2" t="s">
        <v>37</v>
      </c>
      <c r="B29" s="2" t="s">
        <v>54</v>
      </c>
      <c r="C29" s="2">
        <v>46001</v>
      </c>
      <c r="D29" s="76" t="s">
        <v>55</v>
      </c>
      <c r="E29" s="3" t="s">
        <v>35</v>
      </c>
      <c r="F29" s="3" t="s">
        <v>34</v>
      </c>
      <c r="G29" s="4" t="s">
        <v>36</v>
      </c>
      <c r="H29" s="72">
        <v>0</v>
      </c>
      <c r="I29" s="73">
        <v>0</v>
      </c>
      <c r="J29" s="72">
        <v>0</v>
      </c>
      <c r="K29" s="73">
        <v>1730000</v>
      </c>
      <c r="L29" s="1"/>
    </row>
    <row r="30" spans="1:12" ht="24" x14ac:dyDescent="0.25">
      <c r="A30" s="2" t="s">
        <v>31</v>
      </c>
      <c r="B30" s="2" t="s">
        <v>56</v>
      </c>
      <c r="C30" s="2">
        <v>46001</v>
      </c>
      <c r="D30" s="76" t="s">
        <v>57</v>
      </c>
      <c r="E30" s="3" t="s">
        <v>34</v>
      </c>
      <c r="F30" s="3" t="s">
        <v>35</v>
      </c>
      <c r="G30" s="4" t="s">
        <v>36</v>
      </c>
      <c r="H30" s="72">
        <v>0</v>
      </c>
      <c r="I30" s="73">
        <v>0</v>
      </c>
      <c r="J30" s="72">
        <v>5828000</v>
      </c>
      <c r="K30" s="73">
        <v>0</v>
      </c>
      <c r="L30" s="1"/>
    </row>
    <row r="31" spans="1:12" ht="36" x14ac:dyDescent="0.25">
      <c r="A31" s="2" t="s">
        <v>37</v>
      </c>
      <c r="B31" s="2" t="s">
        <v>58</v>
      </c>
      <c r="C31" s="2">
        <v>46001</v>
      </c>
      <c r="D31" s="76" t="s">
        <v>59</v>
      </c>
      <c r="E31" s="3" t="s">
        <v>35</v>
      </c>
      <c r="F31" s="3" t="s">
        <v>34</v>
      </c>
      <c r="G31" s="4" t="s">
        <v>36</v>
      </c>
      <c r="H31" s="72">
        <v>0</v>
      </c>
      <c r="I31" s="73">
        <v>0</v>
      </c>
      <c r="J31" s="72">
        <v>0</v>
      </c>
      <c r="K31" s="73">
        <v>5142677</v>
      </c>
      <c r="L31" s="1"/>
    </row>
    <row r="32" spans="1:12" ht="24" x14ac:dyDescent="0.25">
      <c r="A32" s="2" t="s">
        <v>31</v>
      </c>
      <c r="B32" s="2" t="s">
        <v>60</v>
      </c>
      <c r="C32" s="2">
        <v>46001</v>
      </c>
      <c r="D32" s="76" t="s">
        <v>61</v>
      </c>
      <c r="E32" s="3" t="s">
        <v>34</v>
      </c>
      <c r="F32" s="3" t="s">
        <v>35</v>
      </c>
      <c r="G32" s="4" t="s">
        <v>36</v>
      </c>
      <c r="H32" s="72">
        <v>0</v>
      </c>
      <c r="I32" s="73">
        <v>0</v>
      </c>
      <c r="J32" s="72">
        <v>2800000</v>
      </c>
      <c r="K32" s="73">
        <v>0</v>
      </c>
      <c r="L32" s="1"/>
    </row>
    <row r="33" spans="1:12" ht="24" x14ac:dyDescent="0.25">
      <c r="A33" s="2" t="s">
        <v>31</v>
      </c>
      <c r="B33" s="2" t="s">
        <v>62</v>
      </c>
      <c r="C33" s="2">
        <v>46001</v>
      </c>
      <c r="D33" s="76" t="s">
        <v>63</v>
      </c>
      <c r="E33" s="3" t="s">
        <v>34</v>
      </c>
      <c r="F33" s="3" t="s">
        <v>35</v>
      </c>
      <c r="G33" s="4" t="s">
        <v>36</v>
      </c>
      <c r="H33" s="72">
        <v>0</v>
      </c>
      <c r="I33" s="73">
        <v>0</v>
      </c>
      <c r="J33" s="72">
        <v>9282000</v>
      </c>
      <c r="K33" s="73">
        <v>0</v>
      </c>
      <c r="L33" s="1"/>
    </row>
    <row r="34" spans="1:12" ht="24" x14ac:dyDescent="0.25">
      <c r="A34" s="2" t="s">
        <v>31</v>
      </c>
      <c r="B34" s="2" t="s">
        <v>64</v>
      </c>
      <c r="C34" s="2">
        <v>46001</v>
      </c>
      <c r="D34" s="76" t="s">
        <v>65</v>
      </c>
      <c r="E34" s="3" t="s">
        <v>34</v>
      </c>
      <c r="F34" s="3" t="s">
        <v>35</v>
      </c>
      <c r="G34" s="4" t="s">
        <v>36</v>
      </c>
      <c r="H34" s="72">
        <v>0</v>
      </c>
      <c r="I34" s="73">
        <v>0</v>
      </c>
      <c r="J34" s="72">
        <v>19476000</v>
      </c>
      <c r="K34" s="73">
        <v>0</v>
      </c>
      <c r="L34" s="1"/>
    </row>
    <row r="35" spans="1:12" ht="24" x14ac:dyDescent="0.25">
      <c r="A35" s="2" t="s">
        <v>31</v>
      </c>
      <c r="B35" s="2" t="s">
        <v>66</v>
      </c>
      <c r="C35" s="2">
        <v>46001</v>
      </c>
      <c r="D35" s="76" t="s">
        <v>67</v>
      </c>
      <c r="E35" s="3" t="s">
        <v>34</v>
      </c>
      <c r="F35" s="3" t="s">
        <v>68</v>
      </c>
      <c r="G35" s="4" t="s">
        <v>36</v>
      </c>
      <c r="H35" s="72">
        <v>0</v>
      </c>
      <c r="I35" s="73">
        <v>0</v>
      </c>
      <c r="J35" s="72">
        <v>24201000</v>
      </c>
      <c r="K35" s="73">
        <v>0</v>
      </c>
      <c r="L35" s="1"/>
    </row>
    <row r="36" spans="1:12" ht="24" x14ac:dyDescent="0.25">
      <c r="A36" s="2" t="s">
        <v>31</v>
      </c>
      <c r="B36" s="2" t="s">
        <v>69</v>
      </c>
      <c r="C36" s="2">
        <v>46001</v>
      </c>
      <c r="D36" s="76" t="s">
        <v>70</v>
      </c>
      <c r="E36" s="3" t="s">
        <v>34</v>
      </c>
      <c r="F36" s="3" t="s">
        <v>35</v>
      </c>
      <c r="G36" s="4" t="s">
        <v>36</v>
      </c>
      <c r="H36" s="72">
        <v>0</v>
      </c>
      <c r="I36" s="73">
        <v>0</v>
      </c>
      <c r="J36" s="72">
        <v>5476000</v>
      </c>
      <c r="K36" s="73">
        <v>0</v>
      </c>
      <c r="L36" s="1"/>
    </row>
    <row r="37" spans="1:12" x14ac:dyDescent="0.25">
      <c r="A37" s="2" t="s">
        <v>31</v>
      </c>
      <c r="B37" s="2" t="s">
        <v>71</v>
      </c>
      <c r="C37" s="2">
        <v>46001</v>
      </c>
      <c r="D37" s="76" t="s">
        <v>72</v>
      </c>
      <c r="E37" s="3" t="s">
        <v>34</v>
      </c>
      <c r="F37" s="3" t="s">
        <v>73</v>
      </c>
      <c r="G37" s="4" t="s">
        <v>36</v>
      </c>
      <c r="H37" s="72">
        <v>0</v>
      </c>
      <c r="I37" s="73">
        <v>0</v>
      </c>
      <c r="J37" s="72">
        <v>20855799</v>
      </c>
      <c r="K37" s="73">
        <v>0</v>
      </c>
      <c r="L37" s="1"/>
    </row>
    <row r="38" spans="1:12" ht="24" x14ac:dyDescent="0.25">
      <c r="A38" s="2" t="s">
        <v>31</v>
      </c>
      <c r="B38" s="2" t="s">
        <v>74</v>
      </c>
      <c r="C38" s="2">
        <v>46001</v>
      </c>
      <c r="D38" s="76" t="s">
        <v>75</v>
      </c>
      <c r="E38" s="3" t="s">
        <v>34</v>
      </c>
      <c r="F38" s="3" t="s">
        <v>76</v>
      </c>
      <c r="G38" s="4" t="s">
        <v>36</v>
      </c>
      <c r="H38" s="72">
        <v>0</v>
      </c>
      <c r="I38" s="73">
        <v>0</v>
      </c>
      <c r="J38" s="72">
        <v>4051952</v>
      </c>
      <c r="K38" s="73">
        <v>0</v>
      </c>
      <c r="L38" s="1"/>
    </row>
    <row r="39" spans="1:12" ht="24" x14ac:dyDescent="0.25">
      <c r="A39" s="2" t="s">
        <v>31</v>
      </c>
      <c r="B39" s="2" t="s">
        <v>77</v>
      </c>
      <c r="C39" s="2">
        <v>46001</v>
      </c>
      <c r="D39" s="76" t="s">
        <v>78</v>
      </c>
      <c r="E39" s="3" t="s">
        <v>34</v>
      </c>
      <c r="F39" s="3" t="s">
        <v>35</v>
      </c>
      <c r="G39" s="4" t="s">
        <v>36</v>
      </c>
      <c r="H39" s="72">
        <v>0</v>
      </c>
      <c r="I39" s="73">
        <v>0</v>
      </c>
      <c r="J39" s="72">
        <v>3370000</v>
      </c>
      <c r="K39" s="73">
        <v>0</v>
      </c>
      <c r="L39" s="1"/>
    </row>
    <row r="40" spans="1:12" ht="24" x14ac:dyDescent="0.25">
      <c r="A40" s="2" t="s">
        <v>31</v>
      </c>
      <c r="B40" s="2" t="s">
        <v>79</v>
      </c>
      <c r="C40" s="2">
        <v>46001</v>
      </c>
      <c r="D40" s="76" t="s">
        <v>80</v>
      </c>
      <c r="E40" s="3" t="s">
        <v>34</v>
      </c>
      <c r="F40" s="3" t="s">
        <v>35</v>
      </c>
      <c r="G40" s="4" t="s">
        <v>36</v>
      </c>
      <c r="H40" s="72">
        <v>0</v>
      </c>
      <c r="I40" s="73">
        <v>0</v>
      </c>
      <c r="J40" s="72">
        <v>4207000</v>
      </c>
      <c r="K40" s="73">
        <v>0</v>
      </c>
      <c r="L40" s="1"/>
    </row>
    <row r="41" spans="1:12" ht="24" x14ac:dyDescent="0.25">
      <c r="A41" s="2" t="s">
        <v>31</v>
      </c>
      <c r="B41" s="2" t="s">
        <v>81</v>
      </c>
      <c r="C41" s="2">
        <v>46001</v>
      </c>
      <c r="D41" s="76" t="s">
        <v>82</v>
      </c>
      <c r="E41" s="3" t="s">
        <v>34</v>
      </c>
      <c r="F41" s="3" t="s">
        <v>35</v>
      </c>
      <c r="G41" s="4" t="s">
        <v>36</v>
      </c>
      <c r="H41" s="72">
        <v>0</v>
      </c>
      <c r="I41" s="73">
        <v>0</v>
      </c>
      <c r="J41" s="72">
        <v>14247000</v>
      </c>
      <c r="K41" s="73">
        <v>0</v>
      </c>
      <c r="L41" s="1"/>
    </row>
    <row r="42" spans="1:12" ht="24" x14ac:dyDescent="0.25">
      <c r="A42" s="2" t="s">
        <v>31</v>
      </c>
      <c r="B42" s="2" t="s">
        <v>83</v>
      </c>
      <c r="C42" s="2">
        <v>46001</v>
      </c>
      <c r="D42" s="76" t="s">
        <v>84</v>
      </c>
      <c r="E42" s="3" t="s">
        <v>34</v>
      </c>
      <c r="F42" s="3" t="s">
        <v>35</v>
      </c>
      <c r="G42" s="4" t="s">
        <v>36</v>
      </c>
      <c r="H42" s="72">
        <v>0</v>
      </c>
      <c r="I42" s="73">
        <v>0</v>
      </c>
      <c r="J42" s="72">
        <v>65100000</v>
      </c>
      <c r="K42" s="73">
        <v>0</v>
      </c>
      <c r="L42" s="1"/>
    </row>
    <row r="43" spans="1:12" ht="24" x14ac:dyDescent="0.25">
      <c r="A43" s="2" t="s">
        <v>31</v>
      </c>
      <c r="B43" s="2" t="s">
        <v>85</v>
      </c>
      <c r="C43" s="2">
        <v>46001</v>
      </c>
      <c r="D43" s="76" t="s">
        <v>86</v>
      </c>
      <c r="E43" s="3" t="s">
        <v>34</v>
      </c>
      <c r="F43" s="3" t="s">
        <v>35</v>
      </c>
      <c r="G43" s="4" t="s">
        <v>36</v>
      </c>
      <c r="H43" s="72">
        <v>0</v>
      </c>
      <c r="I43" s="73">
        <v>0</v>
      </c>
      <c r="J43" s="72">
        <v>1145000</v>
      </c>
      <c r="K43" s="73">
        <v>0</v>
      </c>
      <c r="L43" s="1"/>
    </row>
    <row r="44" spans="1:12" ht="24" x14ac:dyDescent="0.25">
      <c r="A44" s="2" t="s">
        <v>31</v>
      </c>
      <c r="B44" s="2" t="s">
        <v>87</v>
      </c>
      <c r="C44" s="2">
        <v>46001</v>
      </c>
      <c r="D44" s="76" t="s">
        <v>88</v>
      </c>
      <c r="E44" s="3" t="s">
        <v>34</v>
      </c>
      <c r="F44" s="3" t="s">
        <v>35</v>
      </c>
      <c r="G44" s="4" t="s">
        <v>36</v>
      </c>
      <c r="H44" s="72">
        <v>0</v>
      </c>
      <c r="I44" s="73">
        <v>0</v>
      </c>
      <c r="J44" s="72">
        <v>13310000</v>
      </c>
      <c r="K44" s="73">
        <v>0</v>
      </c>
      <c r="L44" s="1"/>
    </row>
    <row r="45" spans="1:12" ht="24" x14ac:dyDescent="0.25">
      <c r="A45" s="2" t="s">
        <v>31</v>
      </c>
      <c r="B45" s="2" t="s">
        <v>89</v>
      </c>
      <c r="C45" s="2">
        <v>46001</v>
      </c>
      <c r="D45" s="76" t="s">
        <v>90</v>
      </c>
      <c r="E45" s="3" t="s">
        <v>34</v>
      </c>
      <c r="F45" s="3" t="s">
        <v>35</v>
      </c>
      <c r="G45" s="4" t="s">
        <v>36</v>
      </c>
      <c r="H45" s="72">
        <v>0</v>
      </c>
      <c r="I45" s="73">
        <v>0</v>
      </c>
      <c r="J45" s="72">
        <v>2898000</v>
      </c>
      <c r="K45" s="73">
        <v>0</v>
      </c>
      <c r="L45" s="1"/>
    </row>
    <row r="46" spans="1:12" ht="24" x14ac:dyDescent="0.25">
      <c r="A46" s="2" t="s">
        <v>31</v>
      </c>
      <c r="B46" s="2" t="s">
        <v>91</v>
      </c>
      <c r="C46" s="2">
        <v>46001</v>
      </c>
      <c r="D46" s="76" t="s">
        <v>92</v>
      </c>
      <c r="E46" s="3" t="s">
        <v>34</v>
      </c>
      <c r="F46" s="3" t="s">
        <v>35</v>
      </c>
      <c r="G46" s="4" t="s">
        <v>36</v>
      </c>
      <c r="H46" s="72">
        <v>0</v>
      </c>
      <c r="I46" s="73">
        <v>0</v>
      </c>
      <c r="J46" s="72">
        <v>3338000</v>
      </c>
      <c r="K46" s="73">
        <v>0</v>
      </c>
      <c r="L46" s="1"/>
    </row>
    <row r="47" spans="1:12" x14ac:dyDescent="0.25">
      <c r="A47" s="2" t="s">
        <v>31</v>
      </c>
      <c r="B47" s="2" t="s">
        <v>93</v>
      </c>
      <c r="C47" s="2">
        <v>46001</v>
      </c>
      <c r="D47" s="76" t="s">
        <v>94</v>
      </c>
      <c r="E47" s="3" t="s">
        <v>34</v>
      </c>
      <c r="F47" s="3" t="s">
        <v>95</v>
      </c>
      <c r="G47" s="4" t="s">
        <v>36</v>
      </c>
      <c r="H47" s="72">
        <v>0</v>
      </c>
      <c r="I47" s="73">
        <v>0</v>
      </c>
      <c r="J47" s="72">
        <v>2833000</v>
      </c>
      <c r="K47" s="73">
        <v>0</v>
      </c>
      <c r="L47" s="1"/>
    </row>
    <row r="48" spans="1:12" ht="24" x14ac:dyDescent="0.25">
      <c r="A48" s="2" t="s">
        <v>31</v>
      </c>
      <c r="B48" s="2" t="s">
        <v>96</v>
      </c>
      <c r="C48" s="2">
        <v>46001</v>
      </c>
      <c r="D48" s="76" t="s">
        <v>97</v>
      </c>
      <c r="E48" s="3" t="s">
        <v>34</v>
      </c>
      <c r="F48" s="3" t="s">
        <v>98</v>
      </c>
      <c r="G48" s="4" t="s">
        <v>36</v>
      </c>
      <c r="H48" s="72">
        <v>0</v>
      </c>
      <c r="I48" s="73">
        <v>0</v>
      </c>
      <c r="J48" s="72">
        <v>2107000</v>
      </c>
      <c r="K48" s="73">
        <v>0</v>
      </c>
      <c r="L48" s="1"/>
    </row>
    <row r="49" spans="1:12" ht="24" x14ac:dyDescent="0.25">
      <c r="A49" s="2" t="s">
        <v>31</v>
      </c>
      <c r="B49" s="2" t="s">
        <v>99</v>
      </c>
      <c r="C49" s="2">
        <v>46001</v>
      </c>
      <c r="D49" s="76" t="s">
        <v>100</v>
      </c>
      <c r="E49" s="3" t="s">
        <v>34</v>
      </c>
      <c r="F49" s="3" t="s">
        <v>35</v>
      </c>
      <c r="G49" s="4" t="s">
        <v>36</v>
      </c>
      <c r="H49" s="72">
        <v>0</v>
      </c>
      <c r="I49" s="73">
        <v>0</v>
      </c>
      <c r="J49" s="72">
        <v>15838000</v>
      </c>
      <c r="K49" s="73">
        <v>0</v>
      </c>
      <c r="L49" s="1"/>
    </row>
    <row r="50" spans="1:12" ht="24" x14ac:dyDescent="0.25">
      <c r="A50" s="2" t="s">
        <v>31</v>
      </c>
      <c r="B50" s="2" t="s">
        <v>101</v>
      </c>
      <c r="C50" s="2">
        <v>46001</v>
      </c>
      <c r="D50" s="76" t="s">
        <v>102</v>
      </c>
      <c r="E50" s="3" t="s">
        <v>34</v>
      </c>
      <c r="F50" s="3" t="s">
        <v>35</v>
      </c>
      <c r="G50" s="4" t="s">
        <v>36</v>
      </c>
      <c r="H50" s="72">
        <v>0</v>
      </c>
      <c r="I50" s="73">
        <v>0</v>
      </c>
      <c r="J50" s="72">
        <v>11375000</v>
      </c>
      <c r="K50" s="73">
        <v>0</v>
      </c>
      <c r="L50" s="1"/>
    </row>
    <row r="51" spans="1:12" ht="24" x14ac:dyDescent="0.25">
      <c r="A51" s="2" t="s">
        <v>31</v>
      </c>
      <c r="B51" s="2" t="s">
        <v>103</v>
      </c>
      <c r="C51" s="2">
        <v>46001</v>
      </c>
      <c r="D51" s="76" t="s">
        <v>104</v>
      </c>
      <c r="E51" s="3" t="s">
        <v>34</v>
      </c>
      <c r="F51" s="3" t="s">
        <v>35</v>
      </c>
      <c r="G51" s="4" t="s">
        <v>36</v>
      </c>
      <c r="H51" s="72">
        <v>0</v>
      </c>
      <c r="I51" s="73">
        <v>0</v>
      </c>
      <c r="J51" s="72">
        <v>8917000</v>
      </c>
      <c r="K51" s="73">
        <v>0</v>
      </c>
      <c r="L51" s="1"/>
    </row>
    <row r="52" spans="1:12" ht="24" x14ac:dyDescent="0.25">
      <c r="A52" s="2" t="s">
        <v>31</v>
      </c>
      <c r="B52" s="2" t="s">
        <v>105</v>
      </c>
      <c r="C52" s="2">
        <v>46001</v>
      </c>
      <c r="D52" s="76" t="s">
        <v>106</v>
      </c>
      <c r="E52" s="3" t="s">
        <v>34</v>
      </c>
      <c r="F52" s="3" t="s">
        <v>35</v>
      </c>
      <c r="G52" s="4" t="s">
        <v>36</v>
      </c>
      <c r="H52" s="72">
        <v>0</v>
      </c>
      <c r="I52" s="73">
        <v>0</v>
      </c>
      <c r="J52" s="72">
        <v>33342000</v>
      </c>
      <c r="K52" s="73">
        <v>0</v>
      </c>
      <c r="L52" s="1"/>
    </row>
    <row r="53" spans="1:12" ht="24" x14ac:dyDescent="0.25">
      <c r="A53" s="2" t="s">
        <v>31</v>
      </c>
      <c r="B53" s="2" t="s">
        <v>107</v>
      </c>
      <c r="C53" s="2">
        <v>46001</v>
      </c>
      <c r="D53" s="76" t="s">
        <v>108</v>
      </c>
      <c r="E53" s="3" t="s">
        <v>34</v>
      </c>
      <c r="F53" s="3" t="s">
        <v>35</v>
      </c>
      <c r="G53" s="4" t="s">
        <v>36</v>
      </c>
      <c r="H53" s="72">
        <v>0</v>
      </c>
      <c r="I53" s="73">
        <v>0</v>
      </c>
      <c r="J53" s="72">
        <v>2735000</v>
      </c>
      <c r="K53" s="73">
        <v>0</v>
      </c>
      <c r="L53" s="1"/>
    </row>
    <row r="54" spans="1:12" ht="24" x14ac:dyDescent="0.25">
      <c r="A54" s="2" t="s">
        <v>31</v>
      </c>
      <c r="B54" s="2" t="s">
        <v>109</v>
      </c>
      <c r="C54" s="2">
        <v>46001</v>
      </c>
      <c r="D54" s="76" t="s">
        <v>110</v>
      </c>
      <c r="E54" s="3" t="s">
        <v>34</v>
      </c>
      <c r="F54" s="3" t="s">
        <v>111</v>
      </c>
      <c r="G54" s="4" t="s">
        <v>36</v>
      </c>
      <c r="H54" s="72">
        <v>0</v>
      </c>
      <c r="I54" s="73">
        <v>0</v>
      </c>
      <c r="J54" s="72">
        <v>17477000</v>
      </c>
      <c r="K54" s="73">
        <v>0</v>
      </c>
      <c r="L54" s="1"/>
    </row>
    <row r="55" spans="1:12" ht="24" x14ac:dyDescent="0.25">
      <c r="A55" s="2" t="s">
        <v>31</v>
      </c>
      <c r="B55" s="2" t="s">
        <v>112</v>
      </c>
      <c r="C55" s="2">
        <v>46001</v>
      </c>
      <c r="D55" s="76" t="s">
        <v>113</v>
      </c>
      <c r="E55" s="3" t="s">
        <v>34</v>
      </c>
      <c r="F55" s="3" t="s">
        <v>35</v>
      </c>
      <c r="G55" s="4" t="s">
        <v>36</v>
      </c>
      <c r="H55" s="72">
        <v>0</v>
      </c>
      <c r="I55" s="73">
        <v>0</v>
      </c>
      <c r="J55" s="72">
        <v>17578000</v>
      </c>
      <c r="K55" s="73">
        <v>0</v>
      </c>
      <c r="L55" s="1"/>
    </row>
    <row r="56" spans="1:12" ht="24" x14ac:dyDescent="0.25">
      <c r="A56" s="2" t="s">
        <v>31</v>
      </c>
      <c r="B56" s="2" t="s">
        <v>114</v>
      </c>
      <c r="C56" s="2">
        <v>46001</v>
      </c>
      <c r="D56" s="76" t="s">
        <v>115</v>
      </c>
      <c r="E56" s="3" t="s">
        <v>34</v>
      </c>
      <c r="F56" s="3" t="s">
        <v>35</v>
      </c>
      <c r="G56" s="4" t="s">
        <v>36</v>
      </c>
      <c r="H56" s="72">
        <v>0</v>
      </c>
      <c r="I56" s="73">
        <v>0</v>
      </c>
      <c r="J56" s="72">
        <v>5127000</v>
      </c>
      <c r="K56" s="73">
        <v>0</v>
      </c>
      <c r="L56" s="1"/>
    </row>
    <row r="57" spans="1:12" ht="24" x14ac:dyDescent="0.25">
      <c r="A57" s="2" t="s">
        <v>31</v>
      </c>
      <c r="B57" s="2" t="s">
        <v>116</v>
      </c>
      <c r="C57" s="2">
        <v>46001</v>
      </c>
      <c r="D57" s="76" t="s">
        <v>117</v>
      </c>
      <c r="E57" s="3" t="s">
        <v>34</v>
      </c>
      <c r="F57" s="3" t="s">
        <v>35</v>
      </c>
      <c r="G57" s="4" t="s">
        <v>36</v>
      </c>
      <c r="H57" s="72">
        <v>0</v>
      </c>
      <c r="I57" s="73">
        <v>0</v>
      </c>
      <c r="J57" s="72">
        <v>9665000</v>
      </c>
      <c r="K57" s="73">
        <v>0</v>
      </c>
      <c r="L57" s="1"/>
    </row>
    <row r="58" spans="1:12" ht="24" x14ac:dyDescent="0.25">
      <c r="A58" s="2" t="s">
        <v>31</v>
      </c>
      <c r="B58" s="2" t="s">
        <v>118</v>
      </c>
      <c r="C58" s="2">
        <v>46001</v>
      </c>
      <c r="D58" s="76" t="s">
        <v>119</v>
      </c>
      <c r="E58" s="3" t="s">
        <v>34</v>
      </c>
      <c r="F58" s="3" t="s">
        <v>35</v>
      </c>
      <c r="G58" s="4" t="s">
        <v>36</v>
      </c>
      <c r="H58" s="72">
        <v>0</v>
      </c>
      <c r="I58" s="73">
        <v>0</v>
      </c>
      <c r="J58" s="72">
        <v>60482000</v>
      </c>
      <c r="K58" s="73">
        <v>0</v>
      </c>
      <c r="L58" s="1"/>
    </row>
    <row r="59" spans="1:12" ht="24" x14ac:dyDescent="0.25">
      <c r="A59" s="2" t="s">
        <v>31</v>
      </c>
      <c r="B59" s="2" t="s">
        <v>120</v>
      </c>
      <c r="C59" s="2">
        <v>46001</v>
      </c>
      <c r="D59" s="76" t="s">
        <v>121</v>
      </c>
      <c r="E59" s="3" t="s">
        <v>34</v>
      </c>
      <c r="F59" s="3" t="s">
        <v>35</v>
      </c>
      <c r="G59" s="4" t="s">
        <v>36</v>
      </c>
      <c r="H59" s="72">
        <v>0</v>
      </c>
      <c r="I59" s="73">
        <v>0</v>
      </c>
      <c r="J59" s="72">
        <v>1598000</v>
      </c>
      <c r="K59" s="73">
        <v>0</v>
      </c>
      <c r="L59" s="1"/>
    </row>
    <row r="60" spans="1:12" ht="24" x14ac:dyDescent="0.25">
      <c r="A60" s="2" t="s">
        <v>31</v>
      </c>
      <c r="B60" s="2" t="s">
        <v>122</v>
      </c>
      <c r="C60" s="2">
        <v>46001</v>
      </c>
      <c r="D60" s="76" t="s">
        <v>123</v>
      </c>
      <c r="E60" s="3" t="s">
        <v>34</v>
      </c>
      <c r="F60" s="3" t="s">
        <v>35</v>
      </c>
      <c r="G60" s="4" t="s">
        <v>36</v>
      </c>
      <c r="H60" s="72">
        <v>0</v>
      </c>
      <c r="I60" s="73">
        <v>0</v>
      </c>
      <c r="J60" s="72">
        <v>10605000</v>
      </c>
      <c r="K60" s="73">
        <v>0</v>
      </c>
      <c r="L60" s="1"/>
    </row>
    <row r="61" spans="1:12" ht="24" x14ac:dyDescent="0.25">
      <c r="A61" s="2" t="s">
        <v>31</v>
      </c>
      <c r="B61" s="2" t="s">
        <v>124</v>
      </c>
      <c r="C61" s="2">
        <v>46001</v>
      </c>
      <c r="D61" s="76" t="s">
        <v>125</v>
      </c>
      <c r="E61" s="3" t="s">
        <v>34</v>
      </c>
      <c r="F61" s="3" t="s">
        <v>35</v>
      </c>
      <c r="G61" s="4" t="s">
        <v>36</v>
      </c>
      <c r="H61" s="72">
        <v>0</v>
      </c>
      <c r="I61" s="73">
        <v>0</v>
      </c>
      <c r="J61" s="72">
        <v>10225000</v>
      </c>
      <c r="K61" s="73">
        <v>0</v>
      </c>
      <c r="L61" s="1"/>
    </row>
    <row r="62" spans="1:12" ht="24" x14ac:dyDescent="0.25">
      <c r="A62" s="2" t="s">
        <v>31</v>
      </c>
      <c r="B62" s="2" t="s">
        <v>126</v>
      </c>
      <c r="C62" s="2">
        <v>46001</v>
      </c>
      <c r="D62" s="76" t="s">
        <v>127</v>
      </c>
      <c r="E62" s="3" t="s">
        <v>34</v>
      </c>
      <c r="F62" s="3" t="s">
        <v>35</v>
      </c>
      <c r="G62" s="4" t="s">
        <v>36</v>
      </c>
      <c r="H62" s="72">
        <v>0</v>
      </c>
      <c r="I62" s="73">
        <v>0</v>
      </c>
      <c r="J62" s="72">
        <v>10705000</v>
      </c>
      <c r="K62" s="73">
        <v>0</v>
      </c>
      <c r="L62" s="1"/>
    </row>
    <row r="63" spans="1:12" ht="24" x14ac:dyDescent="0.25">
      <c r="A63" s="2" t="s">
        <v>31</v>
      </c>
      <c r="B63" s="2" t="s">
        <v>128</v>
      </c>
      <c r="C63" s="2">
        <v>46001</v>
      </c>
      <c r="D63" s="76" t="s">
        <v>129</v>
      </c>
      <c r="E63" s="3" t="s">
        <v>34</v>
      </c>
      <c r="F63" s="3" t="s">
        <v>35</v>
      </c>
      <c r="G63" s="4" t="s">
        <v>36</v>
      </c>
      <c r="H63" s="72">
        <v>0</v>
      </c>
      <c r="I63" s="73">
        <v>0</v>
      </c>
      <c r="J63" s="72">
        <v>19301000</v>
      </c>
      <c r="K63" s="73">
        <v>0</v>
      </c>
      <c r="L63" s="1"/>
    </row>
    <row r="64" spans="1:12" ht="24" x14ac:dyDescent="0.25">
      <c r="A64" s="2" t="s">
        <v>31</v>
      </c>
      <c r="B64" s="2" t="s">
        <v>130</v>
      </c>
      <c r="C64" s="2">
        <v>46001</v>
      </c>
      <c r="D64" s="76" t="s">
        <v>131</v>
      </c>
      <c r="E64" s="3" t="s">
        <v>34</v>
      </c>
      <c r="F64" s="3" t="s">
        <v>35</v>
      </c>
      <c r="G64" s="4" t="s">
        <v>36</v>
      </c>
      <c r="H64" s="72">
        <v>0</v>
      </c>
      <c r="I64" s="73">
        <v>0</v>
      </c>
      <c r="J64" s="72">
        <v>43707000</v>
      </c>
      <c r="K64" s="73">
        <v>0</v>
      </c>
      <c r="L64" s="1"/>
    </row>
    <row r="65" spans="1:12" ht="24" x14ac:dyDescent="0.25">
      <c r="A65" s="2" t="s">
        <v>31</v>
      </c>
      <c r="B65" s="2" t="s">
        <v>132</v>
      </c>
      <c r="C65" s="2">
        <v>46001</v>
      </c>
      <c r="D65" s="76" t="s">
        <v>133</v>
      </c>
      <c r="E65" s="3" t="s">
        <v>34</v>
      </c>
      <c r="F65" s="3" t="s">
        <v>35</v>
      </c>
      <c r="G65" s="4" t="s">
        <v>36</v>
      </c>
      <c r="H65" s="72">
        <v>0</v>
      </c>
      <c r="I65" s="73">
        <v>0</v>
      </c>
      <c r="J65" s="72">
        <v>67784000</v>
      </c>
      <c r="K65" s="73">
        <v>0</v>
      </c>
      <c r="L65" s="1"/>
    </row>
    <row r="66" spans="1:12" ht="24" x14ac:dyDescent="0.25">
      <c r="A66" s="2" t="s">
        <v>31</v>
      </c>
      <c r="B66" s="2" t="s">
        <v>134</v>
      </c>
      <c r="C66" s="2">
        <v>46001</v>
      </c>
      <c r="D66" s="76" t="s">
        <v>135</v>
      </c>
      <c r="E66" s="3" t="s">
        <v>34</v>
      </c>
      <c r="F66" s="3" t="s">
        <v>35</v>
      </c>
      <c r="G66" s="4" t="s">
        <v>36</v>
      </c>
      <c r="H66" s="72">
        <v>0</v>
      </c>
      <c r="I66" s="73">
        <v>0</v>
      </c>
      <c r="J66" s="72">
        <v>4786000</v>
      </c>
      <c r="K66" s="73">
        <v>0</v>
      </c>
      <c r="L66" s="1"/>
    </row>
    <row r="67" spans="1:12" ht="24" x14ac:dyDescent="0.25">
      <c r="A67" s="2" t="s">
        <v>31</v>
      </c>
      <c r="B67" s="2" t="s">
        <v>136</v>
      </c>
      <c r="C67" s="2">
        <v>46001</v>
      </c>
      <c r="D67" s="76" t="s">
        <v>137</v>
      </c>
      <c r="E67" s="3" t="s">
        <v>34</v>
      </c>
      <c r="F67" s="3" t="s">
        <v>35</v>
      </c>
      <c r="G67" s="4" t="s">
        <v>36</v>
      </c>
      <c r="H67" s="72">
        <v>0</v>
      </c>
      <c r="I67" s="73">
        <v>0</v>
      </c>
      <c r="J67" s="72">
        <v>18000000</v>
      </c>
      <c r="K67" s="73">
        <v>0</v>
      </c>
      <c r="L67" s="1"/>
    </row>
    <row r="68" spans="1:12" ht="24" x14ac:dyDescent="0.25">
      <c r="A68" s="2" t="s">
        <v>31</v>
      </c>
      <c r="B68" s="2" t="s">
        <v>138</v>
      </c>
      <c r="C68" s="2">
        <v>46001</v>
      </c>
      <c r="D68" s="76" t="s">
        <v>139</v>
      </c>
      <c r="E68" s="3" t="s">
        <v>34</v>
      </c>
      <c r="F68" s="3" t="s">
        <v>35</v>
      </c>
      <c r="G68" s="4" t="s">
        <v>36</v>
      </c>
      <c r="H68" s="72">
        <v>0</v>
      </c>
      <c r="I68" s="73">
        <v>0</v>
      </c>
      <c r="J68" s="72">
        <v>6855000</v>
      </c>
      <c r="K68" s="73">
        <v>0</v>
      </c>
      <c r="L68" s="1"/>
    </row>
    <row r="69" spans="1:12" x14ac:dyDescent="0.25">
      <c r="A69" s="2" t="s">
        <v>31</v>
      </c>
      <c r="B69" s="2" t="s">
        <v>140</v>
      </c>
      <c r="C69" s="2">
        <v>46001</v>
      </c>
      <c r="D69" s="76" t="s">
        <v>141</v>
      </c>
      <c r="E69" s="3" t="s">
        <v>34</v>
      </c>
      <c r="F69" s="3" t="s">
        <v>142</v>
      </c>
      <c r="G69" s="4" t="s">
        <v>51</v>
      </c>
      <c r="H69" s="72">
        <v>0</v>
      </c>
      <c r="I69" s="73">
        <v>0</v>
      </c>
      <c r="J69" s="72">
        <v>250000000</v>
      </c>
      <c r="K69" s="73">
        <v>0</v>
      </c>
      <c r="L69" s="1"/>
    </row>
    <row r="70" spans="1:12" ht="24" x14ac:dyDescent="0.25">
      <c r="A70" s="2" t="s">
        <v>37</v>
      </c>
      <c r="B70" s="2" t="s">
        <v>143</v>
      </c>
      <c r="C70" s="2">
        <v>46001</v>
      </c>
      <c r="D70" s="76" t="s">
        <v>144</v>
      </c>
      <c r="E70" s="3" t="s">
        <v>34</v>
      </c>
      <c r="F70" s="3" t="s">
        <v>34</v>
      </c>
      <c r="G70" s="4" t="s">
        <v>145</v>
      </c>
      <c r="H70" s="72">
        <v>0</v>
      </c>
      <c r="I70" s="73">
        <v>0</v>
      </c>
      <c r="J70" s="72">
        <v>0</v>
      </c>
      <c r="K70" s="73">
        <v>250000000</v>
      </c>
      <c r="L70" s="1"/>
    </row>
    <row r="71" spans="1:12" x14ac:dyDescent="0.25">
      <c r="A71" s="14"/>
      <c r="B71" s="15"/>
      <c r="C71" s="14"/>
      <c r="D71" s="15" t="s">
        <v>1</v>
      </c>
      <c r="E71" s="15"/>
      <c r="F71" s="15"/>
      <c r="G71" s="16"/>
      <c r="H71" s="74">
        <v>0</v>
      </c>
      <c r="I71" s="74">
        <v>0</v>
      </c>
      <c r="J71" s="75">
        <v>837087751</v>
      </c>
      <c r="K71" s="75">
        <v>946753908</v>
      </c>
      <c r="L71" s="1"/>
    </row>
    <row r="72" spans="1:12" x14ac:dyDescent="0.25">
      <c r="A72" s="14"/>
      <c r="B72" s="15"/>
      <c r="C72" s="14"/>
      <c r="D72" s="15" t="s">
        <v>2</v>
      </c>
      <c r="E72" s="15"/>
      <c r="F72" s="15"/>
      <c r="G72" s="16"/>
      <c r="H72" s="74">
        <v>0</v>
      </c>
      <c r="I72" s="74">
        <v>0</v>
      </c>
      <c r="J72" s="75">
        <v>23336084458</v>
      </c>
      <c r="K72" s="75">
        <v>0</v>
      </c>
      <c r="L72" s="1"/>
    </row>
    <row r="73" spans="1:12" x14ac:dyDescent="0.25">
      <c r="A73" s="1"/>
      <c r="B73" s="1"/>
      <c r="C73" s="1"/>
      <c r="D73" s="1"/>
      <c r="E73" s="1"/>
      <c r="F73" s="1"/>
      <c r="G73" s="1"/>
      <c r="H73" s="17"/>
      <c r="I73" s="17"/>
      <c r="J73" s="18" t="s">
        <v>3</v>
      </c>
      <c r="K73" s="18"/>
      <c r="L73" s="1"/>
    </row>
    <row r="74" spans="1:12" ht="15.75" x14ac:dyDescent="0.25">
      <c r="A74" s="19" t="s">
        <v>4</v>
      </c>
      <c r="B74" s="20"/>
      <c r="C74" s="20"/>
      <c r="D74" s="19" t="s">
        <v>5</v>
      </c>
      <c r="E74" s="19"/>
      <c r="F74" s="19"/>
      <c r="G74" s="19"/>
      <c r="H74" s="20"/>
      <c r="I74" s="20"/>
      <c r="J74" s="21" t="s">
        <v>6</v>
      </c>
      <c r="K74" s="18"/>
      <c r="L74" s="1"/>
    </row>
    <row r="75" spans="1:12" x14ac:dyDescent="0.25">
      <c r="A75" s="22"/>
      <c r="B75" s="22"/>
      <c r="C75" s="1"/>
      <c r="D75" s="23"/>
      <c r="E75" s="23"/>
      <c r="F75" s="23"/>
      <c r="G75" s="24"/>
      <c r="H75" s="25"/>
      <c r="I75" s="25"/>
      <c r="J75" s="26"/>
      <c r="K75" s="1"/>
      <c r="L75" s="1"/>
    </row>
    <row r="76" spans="1:12" x14ac:dyDescent="0.25">
      <c r="A76" s="22"/>
      <c r="B76" s="22"/>
      <c r="C76" s="1"/>
      <c r="D76" s="23"/>
      <c r="E76" s="23"/>
      <c r="F76" s="23"/>
      <c r="G76" s="24"/>
      <c r="H76" s="25"/>
      <c r="I76" s="25"/>
      <c r="J76" s="26"/>
      <c r="K76" s="1"/>
      <c r="L76" s="1"/>
    </row>
    <row r="77" spans="1:12" x14ac:dyDescent="0.25">
      <c r="A77" s="22"/>
      <c r="B77" s="22"/>
      <c r="C77" s="1"/>
      <c r="D77" s="23"/>
      <c r="E77" s="23"/>
      <c r="F77" s="23"/>
      <c r="G77" s="24"/>
      <c r="H77" s="25"/>
      <c r="I77" s="25"/>
      <c r="J77" s="26"/>
      <c r="K77" s="1"/>
      <c r="L77" s="1"/>
    </row>
    <row r="78" spans="1:12" x14ac:dyDescent="0.25">
      <c r="A78" s="22"/>
      <c r="B78" s="22"/>
      <c r="C78" s="1"/>
      <c r="D78" s="23"/>
      <c r="E78" s="23"/>
      <c r="F78" s="23"/>
      <c r="G78" s="24"/>
      <c r="H78" s="25"/>
      <c r="I78" s="25"/>
      <c r="J78" s="26"/>
      <c r="K78" s="1"/>
      <c r="L78" s="1"/>
    </row>
    <row r="79" spans="1:12" ht="15.75" x14ac:dyDescent="0.25">
      <c r="A79" s="77" t="s">
        <v>34</v>
      </c>
      <c r="B79" s="20"/>
      <c r="C79" s="20"/>
      <c r="D79" s="27" t="s">
        <v>147</v>
      </c>
      <c r="E79" s="27"/>
      <c r="F79" s="27"/>
      <c r="G79" s="19"/>
      <c r="H79" s="19"/>
      <c r="I79" s="19"/>
      <c r="J79" s="28" t="s">
        <v>148</v>
      </c>
      <c r="K79" s="21"/>
      <c r="L79" s="1"/>
    </row>
  </sheetData>
  <pageMargins left="0.27559055118110198" right="0.27559055118110198" top="0.59055118110236204" bottom="0.15748031496063" header="0.196850393700787" footer="0"/>
  <pageSetup paperSize="9" orientation="landscape" r:id="rId1"/>
  <headerFooter>
    <oddHeader>&amp;R&amp;P/&amp;N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7"/>
  <sheetViews>
    <sheetView showGridLines="0" showZeros="0" tabSelected="1" zoomScalePageLayoutView="70" workbookViewId="0">
      <selection activeCell="L19" sqref="L19"/>
    </sheetView>
  </sheetViews>
  <sheetFormatPr defaultRowHeight="15" x14ac:dyDescent="0.25"/>
  <cols>
    <col min="1" max="1" width="6.140625" customWidth="1"/>
    <col min="2" max="2" width="10.7109375" customWidth="1"/>
    <col min="3" max="3" width="12.42578125" customWidth="1"/>
    <col min="4" max="4" width="35.7109375" customWidth="1"/>
    <col min="5" max="5" width="12.140625" customWidth="1"/>
    <col min="6" max="6" width="14.42578125" customWidth="1"/>
    <col min="7" max="7" width="6.5703125" customWidth="1"/>
    <col min="8" max="8" width="15.5703125" customWidth="1"/>
    <col min="9" max="9" width="14.28515625" customWidth="1"/>
  </cols>
  <sheetData>
    <row r="1" spans="1:9" x14ac:dyDescent="0.25">
      <c r="A1" s="29" t="s">
        <v>149</v>
      </c>
      <c r="B1" s="29"/>
      <c r="C1" s="29"/>
      <c r="D1" s="29"/>
      <c r="E1" s="30"/>
      <c r="F1" s="30"/>
      <c r="G1" s="31" t="s">
        <v>28</v>
      </c>
      <c r="H1" s="18"/>
      <c r="I1" s="18"/>
    </row>
    <row r="2" spans="1:9" x14ac:dyDescent="0.25">
      <c r="A2" s="29" t="s">
        <v>150</v>
      </c>
      <c r="B2" s="29"/>
      <c r="C2" s="29"/>
      <c r="D2" s="29"/>
      <c r="E2" s="30"/>
      <c r="F2" s="30"/>
      <c r="G2" s="31" t="s">
        <v>29</v>
      </c>
      <c r="H2" s="18"/>
      <c r="I2" s="18"/>
    </row>
    <row r="3" spans="1:9" x14ac:dyDescent="0.25">
      <c r="A3" s="33" t="s">
        <v>151</v>
      </c>
      <c r="B3" s="34"/>
      <c r="C3" s="34"/>
      <c r="D3" s="35"/>
      <c r="E3" s="34"/>
      <c r="F3" s="34"/>
      <c r="G3" s="36" t="s">
        <v>30</v>
      </c>
      <c r="H3" s="18"/>
      <c r="I3" s="18"/>
    </row>
    <row r="4" spans="1:9" ht="15.75" x14ac:dyDescent="0.25">
      <c r="A4" s="37" t="s">
        <v>10</v>
      </c>
      <c r="B4" s="20"/>
      <c r="C4" s="30"/>
      <c r="D4" s="37"/>
      <c r="E4" s="37"/>
      <c r="F4" s="37"/>
      <c r="G4" s="37"/>
      <c r="H4" s="28"/>
      <c r="I4" s="28"/>
    </row>
    <row r="5" spans="1:9" ht="15.75" x14ac:dyDescent="0.25">
      <c r="A5" s="39" t="s">
        <v>146</v>
      </c>
      <c r="B5" s="40"/>
      <c r="C5" s="40"/>
      <c r="D5" s="41"/>
      <c r="E5" s="41"/>
      <c r="F5" s="41"/>
      <c r="G5" s="40"/>
      <c r="H5" s="43"/>
      <c r="I5" s="43"/>
    </row>
    <row r="6" spans="1:9" ht="15.75" x14ac:dyDescent="0.25">
      <c r="A6" s="44" t="s">
        <v>152</v>
      </c>
      <c r="B6" s="19"/>
      <c r="C6" s="44"/>
      <c r="D6" s="45"/>
      <c r="E6" s="45"/>
      <c r="F6" s="45"/>
      <c r="G6" s="45"/>
      <c r="H6" s="47"/>
      <c r="I6" s="47"/>
    </row>
    <row r="7" spans="1:9" x14ac:dyDescent="0.25">
      <c r="A7" s="48"/>
      <c r="B7" s="1"/>
      <c r="C7" s="48"/>
      <c r="D7" s="49"/>
      <c r="E7" s="49"/>
      <c r="F7" s="49"/>
      <c r="G7" s="49"/>
      <c r="H7" s="51"/>
      <c r="I7" s="51"/>
    </row>
    <row r="8" spans="1:9" x14ac:dyDescent="0.25">
      <c r="A8" s="61" t="s">
        <v>26</v>
      </c>
      <c r="B8" s="62" t="s">
        <v>14</v>
      </c>
      <c r="C8" s="63"/>
      <c r="D8" s="64" t="s">
        <v>15</v>
      </c>
      <c r="E8" s="65" t="s">
        <v>25</v>
      </c>
      <c r="F8" s="65"/>
      <c r="G8" s="66" t="s">
        <v>16</v>
      </c>
      <c r="H8" s="67" t="s">
        <v>18</v>
      </c>
      <c r="I8" s="67"/>
    </row>
    <row r="9" spans="1:9" x14ac:dyDescent="0.25">
      <c r="A9" s="68" t="s">
        <v>27</v>
      </c>
      <c r="B9" s="69" t="s">
        <v>20</v>
      </c>
      <c r="C9" s="69" t="s">
        <v>13</v>
      </c>
      <c r="D9" s="69"/>
      <c r="E9" s="70" t="s">
        <v>22</v>
      </c>
      <c r="F9" s="70" t="s">
        <v>23</v>
      </c>
      <c r="G9" s="69" t="s">
        <v>21</v>
      </c>
      <c r="H9" s="71" t="s">
        <v>22</v>
      </c>
      <c r="I9" s="71" t="s">
        <v>23</v>
      </c>
    </row>
    <row r="10" spans="1:9" x14ac:dyDescent="0.25">
      <c r="A10" s="52"/>
      <c r="B10" s="52"/>
      <c r="C10" s="53"/>
      <c r="D10" s="54" t="s">
        <v>24</v>
      </c>
      <c r="E10" s="54"/>
      <c r="F10" s="54">
        <v>0</v>
      </c>
      <c r="G10" s="55">
        <v>0</v>
      </c>
      <c r="H10" s="58">
        <v>23445750615</v>
      </c>
      <c r="I10" s="59">
        <v>0</v>
      </c>
    </row>
    <row r="11" spans="1:9" ht="24" x14ac:dyDescent="0.25">
      <c r="A11" s="2" t="s">
        <v>31</v>
      </c>
      <c r="B11" s="2" t="s">
        <v>32</v>
      </c>
      <c r="C11" s="2">
        <v>46001</v>
      </c>
      <c r="D11" s="76" t="s">
        <v>33</v>
      </c>
      <c r="E11" s="3" t="s">
        <v>34</v>
      </c>
      <c r="F11" s="3" t="s">
        <v>35</v>
      </c>
      <c r="G11" s="4" t="s">
        <v>36</v>
      </c>
      <c r="H11" s="72">
        <v>6460000</v>
      </c>
      <c r="I11" s="73">
        <v>0</v>
      </c>
    </row>
    <row r="12" spans="1:9" ht="36" x14ac:dyDescent="0.25">
      <c r="A12" s="2" t="s">
        <v>37</v>
      </c>
      <c r="B12" s="2" t="s">
        <v>38</v>
      </c>
      <c r="C12" s="2">
        <v>46001</v>
      </c>
      <c r="D12" s="76" t="s">
        <v>39</v>
      </c>
      <c r="E12" s="3" t="s">
        <v>40</v>
      </c>
      <c r="F12" s="3" t="s">
        <v>34</v>
      </c>
      <c r="G12" s="4" t="s">
        <v>41</v>
      </c>
      <c r="H12" s="72">
        <v>0</v>
      </c>
      <c r="I12" s="73">
        <v>900000</v>
      </c>
    </row>
    <row r="13" spans="1:9" ht="24" x14ac:dyDescent="0.25">
      <c r="A13" s="2" t="s">
        <v>37</v>
      </c>
      <c r="B13" s="2" t="s">
        <v>38</v>
      </c>
      <c r="C13" s="2">
        <v>46001</v>
      </c>
      <c r="D13" s="76" t="s">
        <v>42</v>
      </c>
      <c r="E13" s="3" t="s">
        <v>40</v>
      </c>
      <c r="F13" s="3" t="s">
        <v>34</v>
      </c>
      <c r="G13" s="4" t="s">
        <v>43</v>
      </c>
      <c r="H13" s="72">
        <v>0</v>
      </c>
      <c r="I13" s="73">
        <v>572000</v>
      </c>
    </row>
    <row r="14" spans="1:9" x14ac:dyDescent="0.25">
      <c r="A14" s="2" t="s">
        <v>37</v>
      </c>
      <c r="B14" s="2" t="s">
        <v>44</v>
      </c>
      <c r="C14" s="2">
        <v>46001</v>
      </c>
      <c r="D14" s="76" t="s">
        <v>45</v>
      </c>
      <c r="E14" s="3" t="s">
        <v>46</v>
      </c>
      <c r="F14" s="3" t="s">
        <v>34</v>
      </c>
      <c r="G14" s="4" t="s">
        <v>47</v>
      </c>
      <c r="H14" s="72">
        <v>0</v>
      </c>
      <c r="I14" s="73">
        <v>500000000</v>
      </c>
    </row>
    <row r="15" spans="1:9" x14ac:dyDescent="0.25">
      <c r="A15" s="2" t="s">
        <v>37</v>
      </c>
      <c r="B15" s="2" t="s">
        <v>48</v>
      </c>
      <c r="C15" s="2">
        <v>46001</v>
      </c>
      <c r="D15" s="76" t="s">
        <v>49</v>
      </c>
      <c r="E15" s="3" t="s">
        <v>50</v>
      </c>
      <c r="F15" s="3" t="s">
        <v>34</v>
      </c>
      <c r="G15" s="4" t="s">
        <v>51</v>
      </c>
      <c r="H15" s="72">
        <v>0</v>
      </c>
      <c r="I15" s="73">
        <v>187500000</v>
      </c>
    </row>
    <row r="16" spans="1:9" ht="36" x14ac:dyDescent="0.25">
      <c r="A16" s="2" t="s">
        <v>37</v>
      </c>
      <c r="B16" s="2" t="s">
        <v>52</v>
      </c>
      <c r="C16" s="2">
        <v>46001</v>
      </c>
      <c r="D16" s="76" t="s">
        <v>53</v>
      </c>
      <c r="E16" s="3" t="s">
        <v>35</v>
      </c>
      <c r="F16" s="3" t="s">
        <v>34</v>
      </c>
      <c r="G16" s="4" t="s">
        <v>36</v>
      </c>
      <c r="H16" s="72">
        <v>0</v>
      </c>
      <c r="I16" s="73">
        <v>909231</v>
      </c>
    </row>
    <row r="17" spans="1:9" ht="36" x14ac:dyDescent="0.25">
      <c r="A17" s="2" t="s">
        <v>37</v>
      </c>
      <c r="B17" s="2" t="s">
        <v>54</v>
      </c>
      <c r="C17" s="2">
        <v>46001</v>
      </c>
      <c r="D17" s="76" t="s">
        <v>55</v>
      </c>
      <c r="E17" s="3" t="s">
        <v>35</v>
      </c>
      <c r="F17" s="3" t="s">
        <v>34</v>
      </c>
      <c r="G17" s="4" t="s">
        <v>36</v>
      </c>
      <c r="H17" s="72">
        <v>0</v>
      </c>
      <c r="I17" s="73">
        <v>1730000</v>
      </c>
    </row>
    <row r="18" spans="1:9" ht="24" x14ac:dyDescent="0.25">
      <c r="A18" s="2" t="s">
        <v>31</v>
      </c>
      <c r="B18" s="2" t="s">
        <v>56</v>
      </c>
      <c r="C18" s="2">
        <v>46001</v>
      </c>
      <c r="D18" s="76" t="s">
        <v>57</v>
      </c>
      <c r="E18" s="3" t="s">
        <v>34</v>
      </c>
      <c r="F18" s="3" t="s">
        <v>35</v>
      </c>
      <c r="G18" s="4" t="s">
        <v>36</v>
      </c>
      <c r="H18" s="72">
        <v>5828000</v>
      </c>
      <c r="I18" s="73">
        <v>0</v>
      </c>
    </row>
    <row r="19" spans="1:9" ht="36" x14ac:dyDescent="0.25">
      <c r="A19" s="2" t="s">
        <v>37</v>
      </c>
      <c r="B19" s="2" t="s">
        <v>58</v>
      </c>
      <c r="C19" s="2">
        <v>46001</v>
      </c>
      <c r="D19" s="76" t="s">
        <v>59</v>
      </c>
      <c r="E19" s="3" t="s">
        <v>35</v>
      </c>
      <c r="F19" s="3" t="s">
        <v>34</v>
      </c>
      <c r="G19" s="4" t="s">
        <v>36</v>
      </c>
      <c r="H19" s="72">
        <v>0</v>
      </c>
      <c r="I19" s="73">
        <v>5142677</v>
      </c>
    </row>
    <row r="20" spans="1:9" ht="24" x14ac:dyDescent="0.25">
      <c r="A20" s="2" t="s">
        <v>31</v>
      </c>
      <c r="B20" s="2" t="s">
        <v>60</v>
      </c>
      <c r="C20" s="2">
        <v>46001</v>
      </c>
      <c r="D20" s="76" t="s">
        <v>61</v>
      </c>
      <c r="E20" s="3" t="s">
        <v>34</v>
      </c>
      <c r="F20" s="3" t="s">
        <v>35</v>
      </c>
      <c r="G20" s="4" t="s">
        <v>36</v>
      </c>
      <c r="H20" s="72">
        <v>2800000</v>
      </c>
      <c r="I20" s="73">
        <v>0</v>
      </c>
    </row>
    <row r="21" spans="1:9" ht="24" x14ac:dyDescent="0.25">
      <c r="A21" s="2" t="s">
        <v>31</v>
      </c>
      <c r="B21" s="2" t="s">
        <v>62</v>
      </c>
      <c r="C21" s="2">
        <v>46001</v>
      </c>
      <c r="D21" s="76" t="s">
        <v>63</v>
      </c>
      <c r="E21" s="3" t="s">
        <v>34</v>
      </c>
      <c r="F21" s="3" t="s">
        <v>35</v>
      </c>
      <c r="G21" s="4" t="s">
        <v>36</v>
      </c>
      <c r="H21" s="72">
        <v>9282000</v>
      </c>
      <c r="I21" s="73">
        <v>0</v>
      </c>
    </row>
    <row r="22" spans="1:9" x14ac:dyDescent="0.25">
      <c r="A22" s="2" t="s">
        <v>31</v>
      </c>
      <c r="B22" s="2" t="s">
        <v>64</v>
      </c>
      <c r="C22" s="2">
        <v>46001</v>
      </c>
      <c r="D22" s="76" t="s">
        <v>65</v>
      </c>
      <c r="E22" s="3" t="s">
        <v>34</v>
      </c>
      <c r="F22" s="3" t="s">
        <v>35</v>
      </c>
      <c r="G22" s="4" t="s">
        <v>36</v>
      </c>
      <c r="H22" s="72">
        <v>19476000</v>
      </c>
      <c r="I22" s="73">
        <v>0</v>
      </c>
    </row>
    <row r="23" spans="1:9" ht="24" x14ac:dyDescent="0.25">
      <c r="A23" s="2" t="s">
        <v>31</v>
      </c>
      <c r="B23" s="2" t="s">
        <v>66</v>
      </c>
      <c r="C23" s="2">
        <v>46001</v>
      </c>
      <c r="D23" s="76" t="s">
        <v>67</v>
      </c>
      <c r="E23" s="3" t="s">
        <v>34</v>
      </c>
      <c r="F23" s="3" t="s">
        <v>68</v>
      </c>
      <c r="G23" s="4" t="s">
        <v>36</v>
      </c>
      <c r="H23" s="72">
        <v>24201000</v>
      </c>
      <c r="I23" s="73">
        <v>0</v>
      </c>
    </row>
    <row r="24" spans="1:9" ht="24" x14ac:dyDescent="0.25">
      <c r="A24" s="2" t="s">
        <v>31</v>
      </c>
      <c r="B24" s="2" t="s">
        <v>69</v>
      </c>
      <c r="C24" s="2">
        <v>46001</v>
      </c>
      <c r="D24" s="76" t="s">
        <v>70</v>
      </c>
      <c r="E24" s="3" t="s">
        <v>34</v>
      </c>
      <c r="F24" s="3" t="s">
        <v>35</v>
      </c>
      <c r="G24" s="4" t="s">
        <v>36</v>
      </c>
      <c r="H24" s="72">
        <v>5476000</v>
      </c>
      <c r="I24" s="73">
        <v>0</v>
      </c>
    </row>
    <row r="25" spans="1:9" x14ac:dyDescent="0.25">
      <c r="A25" s="2" t="s">
        <v>31</v>
      </c>
      <c r="B25" s="2" t="s">
        <v>71</v>
      </c>
      <c r="C25" s="2">
        <v>46001</v>
      </c>
      <c r="D25" s="76" t="s">
        <v>72</v>
      </c>
      <c r="E25" s="3" t="s">
        <v>34</v>
      </c>
      <c r="F25" s="3" t="s">
        <v>73</v>
      </c>
      <c r="G25" s="4" t="s">
        <v>36</v>
      </c>
      <c r="H25" s="72">
        <v>20855799</v>
      </c>
      <c r="I25" s="73">
        <v>0</v>
      </c>
    </row>
    <row r="26" spans="1:9" x14ac:dyDescent="0.25">
      <c r="A26" s="2" t="s">
        <v>31</v>
      </c>
      <c r="B26" s="2" t="s">
        <v>74</v>
      </c>
      <c r="C26" s="2">
        <v>46001</v>
      </c>
      <c r="D26" s="76" t="s">
        <v>75</v>
      </c>
      <c r="E26" s="3" t="s">
        <v>34</v>
      </c>
      <c r="F26" s="3" t="s">
        <v>76</v>
      </c>
      <c r="G26" s="4" t="s">
        <v>36</v>
      </c>
      <c r="H26" s="72">
        <v>4051952</v>
      </c>
      <c r="I26" s="73">
        <v>0</v>
      </c>
    </row>
    <row r="27" spans="1:9" ht="24" x14ac:dyDescent="0.25">
      <c r="A27" s="2" t="s">
        <v>31</v>
      </c>
      <c r="B27" s="2" t="s">
        <v>77</v>
      </c>
      <c r="C27" s="2">
        <v>46001</v>
      </c>
      <c r="D27" s="76" t="s">
        <v>78</v>
      </c>
      <c r="E27" s="3" t="s">
        <v>34</v>
      </c>
      <c r="F27" s="3" t="s">
        <v>35</v>
      </c>
      <c r="G27" s="4" t="s">
        <v>36</v>
      </c>
      <c r="H27" s="72">
        <v>3370000</v>
      </c>
      <c r="I27" s="73">
        <v>0</v>
      </c>
    </row>
    <row r="28" spans="1:9" ht="24" x14ac:dyDescent="0.25">
      <c r="A28" s="2" t="s">
        <v>31</v>
      </c>
      <c r="B28" s="2" t="s">
        <v>79</v>
      </c>
      <c r="C28" s="2">
        <v>46001</v>
      </c>
      <c r="D28" s="76" t="s">
        <v>80</v>
      </c>
      <c r="E28" s="3" t="s">
        <v>34</v>
      </c>
      <c r="F28" s="3" t="s">
        <v>35</v>
      </c>
      <c r="G28" s="4" t="s">
        <v>36</v>
      </c>
      <c r="H28" s="72">
        <v>4207000</v>
      </c>
      <c r="I28" s="73">
        <v>0</v>
      </c>
    </row>
    <row r="29" spans="1:9" ht="24" x14ac:dyDescent="0.25">
      <c r="A29" s="2" t="s">
        <v>31</v>
      </c>
      <c r="B29" s="2" t="s">
        <v>81</v>
      </c>
      <c r="C29" s="2">
        <v>46001</v>
      </c>
      <c r="D29" s="76" t="s">
        <v>82</v>
      </c>
      <c r="E29" s="3" t="s">
        <v>34</v>
      </c>
      <c r="F29" s="3" t="s">
        <v>35</v>
      </c>
      <c r="G29" s="4" t="s">
        <v>36</v>
      </c>
      <c r="H29" s="72">
        <v>14247000</v>
      </c>
      <c r="I29" s="73">
        <v>0</v>
      </c>
    </row>
    <row r="30" spans="1:9" x14ac:dyDescent="0.25">
      <c r="A30" s="2" t="s">
        <v>31</v>
      </c>
      <c r="B30" s="2" t="s">
        <v>83</v>
      </c>
      <c r="C30" s="2">
        <v>46001</v>
      </c>
      <c r="D30" s="76" t="s">
        <v>84</v>
      </c>
      <c r="E30" s="3" t="s">
        <v>34</v>
      </c>
      <c r="F30" s="3" t="s">
        <v>35</v>
      </c>
      <c r="G30" s="4" t="s">
        <v>36</v>
      </c>
      <c r="H30" s="72">
        <v>65100000</v>
      </c>
      <c r="I30" s="73">
        <v>0</v>
      </c>
    </row>
    <row r="31" spans="1:9" ht="24" x14ac:dyDescent="0.25">
      <c r="A31" s="2" t="s">
        <v>31</v>
      </c>
      <c r="B31" s="2" t="s">
        <v>85</v>
      </c>
      <c r="C31" s="2">
        <v>46001</v>
      </c>
      <c r="D31" s="76" t="s">
        <v>86</v>
      </c>
      <c r="E31" s="3" t="s">
        <v>34</v>
      </c>
      <c r="F31" s="3" t="s">
        <v>35</v>
      </c>
      <c r="G31" s="4" t="s">
        <v>36</v>
      </c>
      <c r="H31" s="72">
        <v>1145000</v>
      </c>
      <c r="I31" s="73">
        <v>0</v>
      </c>
    </row>
    <row r="32" spans="1:9" ht="24" x14ac:dyDescent="0.25">
      <c r="A32" s="2" t="s">
        <v>31</v>
      </c>
      <c r="B32" s="2" t="s">
        <v>87</v>
      </c>
      <c r="C32" s="2">
        <v>46001</v>
      </c>
      <c r="D32" s="76" t="s">
        <v>88</v>
      </c>
      <c r="E32" s="3" t="s">
        <v>34</v>
      </c>
      <c r="F32" s="3" t="s">
        <v>35</v>
      </c>
      <c r="G32" s="4" t="s">
        <v>36</v>
      </c>
      <c r="H32" s="72">
        <v>13310000</v>
      </c>
      <c r="I32" s="73">
        <v>0</v>
      </c>
    </row>
    <row r="33" spans="1:9" ht="24" x14ac:dyDescent="0.25">
      <c r="A33" s="2" t="s">
        <v>31</v>
      </c>
      <c r="B33" s="2" t="s">
        <v>89</v>
      </c>
      <c r="C33" s="2">
        <v>46001</v>
      </c>
      <c r="D33" s="76" t="s">
        <v>90</v>
      </c>
      <c r="E33" s="3" t="s">
        <v>34</v>
      </c>
      <c r="F33" s="3" t="s">
        <v>35</v>
      </c>
      <c r="G33" s="4" t="s">
        <v>36</v>
      </c>
      <c r="H33" s="72">
        <v>2898000</v>
      </c>
      <c r="I33" s="73">
        <v>0</v>
      </c>
    </row>
    <row r="34" spans="1:9" ht="24" x14ac:dyDescent="0.25">
      <c r="A34" s="2" t="s">
        <v>31</v>
      </c>
      <c r="B34" s="2" t="s">
        <v>91</v>
      </c>
      <c r="C34" s="2">
        <v>46001</v>
      </c>
      <c r="D34" s="76" t="s">
        <v>92</v>
      </c>
      <c r="E34" s="3" t="s">
        <v>34</v>
      </c>
      <c r="F34" s="3" t="s">
        <v>35</v>
      </c>
      <c r="G34" s="4" t="s">
        <v>36</v>
      </c>
      <c r="H34" s="72">
        <v>3338000</v>
      </c>
      <c r="I34" s="73">
        <v>0</v>
      </c>
    </row>
    <row r="35" spans="1:9" x14ac:dyDescent="0.25">
      <c r="A35" s="2" t="s">
        <v>31</v>
      </c>
      <c r="B35" s="2" t="s">
        <v>93</v>
      </c>
      <c r="C35" s="2">
        <v>46001</v>
      </c>
      <c r="D35" s="76" t="s">
        <v>94</v>
      </c>
      <c r="E35" s="3" t="s">
        <v>34</v>
      </c>
      <c r="F35" s="3" t="s">
        <v>95</v>
      </c>
      <c r="G35" s="4" t="s">
        <v>36</v>
      </c>
      <c r="H35" s="72">
        <v>2833000</v>
      </c>
      <c r="I35" s="73">
        <v>0</v>
      </c>
    </row>
    <row r="36" spans="1:9" ht="24" x14ac:dyDescent="0.25">
      <c r="A36" s="2" t="s">
        <v>31</v>
      </c>
      <c r="B36" s="2" t="s">
        <v>96</v>
      </c>
      <c r="C36" s="2">
        <v>46001</v>
      </c>
      <c r="D36" s="76" t="s">
        <v>97</v>
      </c>
      <c r="E36" s="3" t="s">
        <v>34</v>
      </c>
      <c r="F36" s="3" t="s">
        <v>98</v>
      </c>
      <c r="G36" s="4" t="s">
        <v>36</v>
      </c>
      <c r="H36" s="72">
        <v>2107000</v>
      </c>
      <c r="I36" s="73">
        <v>0</v>
      </c>
    </row>
    <row r="37" spans="1:9" ht="24" x14ac:dyDescent="0.25">
      <c r="A37" s="2" t="s">
        <v>31</v>
      </c>
      <c r="B37" s="2" t="s">
        <v>99</v>
      </c>
      <c r="C37" s="2">
        <v>46001</v>
      </c>
      <c r="D37" s="76" t="s">
        <v>100</v>
      </c>
      <c r="E37" s="3" t="s">
        <v>34</v>
      </c>
      <c r="F37" s="3" t="s">
        <v>35</v>
      </c>
      <c r="G37" s="4" t="s">
        <v>36</v>
      </c>
      <c r="H37" s="72">
        <v>15838000</v>
      </c>
      <c r="I37" s="73">
        <v>0</v>
      </c>
    </row>
    <row r="38" spans="1:9" ht="24" x14ac:dyDescent="0.25">
      <c r="A38" s="2" t="s">
        <v>31</v>
      </c>
      <c r="B38" s="2" t="s">
        <v>101</v>
      </c>
      <c r="C38" s="2">
        <v>46001</v>
      </c>
      <c r="D38" s="76" t="s">
        <v>102</v>
      </c>
      <c r="E38" s="3" t="s">
        <v>34</v>
      </c>
      <c r="F38" s="3" t="s">
        <v>35</v>
      </c>
      <c r="G38" s="4" t="s">
        <v>36</v>
      </c>
      <c r="H38" s="72">
        <v>11375000</v>
      </c>
      <c r="I38" s="73">
        <v>0</v>
      </c>
    </row>
    <row r="39" spans="1:9" ht="24" x14ac:dyDescent="0.25">
      <c r="A39" s="2" t="s">
        <v>31</v>
      </c>
      <c r="B39" s="2" t="s">
        <v>103</v>
      </c>
      <c r="C39" s="2">
        <v>46001</v>
      </c>
      <c r="D39" s="76" t="s">
        <v>104</v>
      </c>
      <c r="E39" s="3" t="s">
        <v>34</v>
      </c>
      <c r="F39" s="3" t="s">
        <v>35</v>
      </c>
      <c r="G39" s="4" t="s">
        <v>36</v>
      </c>
      <c r="H39" s="72">
        <v>8917000</v>
      </c>
      <c r="I39" s="73">
        <v>0</v>
      </c>
    </row>
    <row r="40" spans="1:9" ht="24" x14ac:dyDescent="0.25">
      <c r="A40" s="2" t="s">
        <v>31</v>
      </c>
      <c r="B40" s="2" t="s">
        <v>105</v>
      </c>
      <c r="C40" s="2">
        <v>46001</v>
      </c>
      <c r="D40" s="76" t="s">
        <v>106</v>
      </c>
      <c r="E40" s="3" t="s">
        <v>34</v>
      </c>
      <c r="F40" s="3" t="s">
        <v>35</v>
      </c>
      <c r="G40" s="4" t="s">
        <v>36</v>
      </c>
      <c r="H40" s="72">
        <v>33342000</v>
      </c>
      <c r="I40" s="73">
        <v>0</v>
      </c>
    </row>
    <row r="41" spans="1:9" ht="24" x14ac:dyDescent="0.25">
      <c r="A41" s="2" t="s">
        <v>31</v>
      </c>
      <c r="B41" s="2" t="s">
        <v>107</v>
      </c>
      <c r="C41" s="2">
        <v>46001</v>
      </c>
      <c r="D41" s="76" t="s">
        <v>108</v>
      </c>
      <c r="E41" s="3" t="s">
        <v>34</v>
      </c>
      <c r="F41" s="3" t="s">
        <v>35</v>
      </c>
      <c r="G41" s="4" t="s">
        <v>36</v>
      </c>
      <c r="H41" s="72">
        <v>2735000</v>
      </c>
      <c r="I41" s="73">
        <v>0</v>
      </c>
    </row>
    <row r="42" spans="1:9" x14ac:dyDescent="0.25">
      <c r="A42" s="2" t="s">
        <v>31</v>
      </c>
      <c r="B42" s="2" t="s">
        <v>109</v>
      </c>
      <c r="C42" s="2">
        <v>46001</v>
      </c>
      <c r="D42" s="76" t="s">
        <v>110</v>
      </c>
      <c r="E42" s="3" t="s">
        <v>34</v>
      </c>
      <c r="F42" s="3" t="s">
        <v>111</v>
      </c>
      <c r="G42" s="4" t="s">
        <v>36</v>
      </c>
      <c r="H42" s="72">
        <v>17477000</v>
      </c>
      <c r="I42" s="73">
        <v>0</v>
      </c>
    </row>
    <row r="43" spans="1:9" ht="24" x14ac:dyDescent="0.25">
      <c r="A43" s="2" t="s">
        <v>31</v>
      </c>
      <c r="B43" s="2" t="s">
        <v>112</v>
      </c>
      <c r="C43" s="2">
        <v>46001</v>
      </c>
      <c r="D43" s="76" t="s">
        <v>113</v>
      </c>
      <c r="E43" s="3" t="s">
        <v>34</v>
      </c>
      <c r="F43" s="3" t="s">
        <v>35</v>
      </c>
      <c r="G43" s="4" t="s">
        <v>36</v>
      </c>
      <c r="H43" s="72">
        <v>17578000</v>
      </c>
      <c r="I43" s="73">
        <v>0</v>
      </c>
    </row>
    <row r="44" spans="1:9" ht="24" x14ac:dyDescent="0.25">
      <c r="A44" s="2" t="s">
        <v>31</v>
      </c>
      <c r="B44" s="2" t="s">
        <v>114</v>
      </c>
      <c r="C44" s="2">
        <v>46001</v>
      </c>
      <c r="D44" s="76" t="s">
        <v>115</v>
      </c>
      <c r="E44" s="3" t="s">
        <v>34</v>
      </c>
      <c r="F44" s="3" t="s">
        <v>35</v>
      </c>
      <c r="G44" s="4" t="s">
        <v>36</v>
      </c>
      <c r="H44" s="72">
        <v>5127000</v>
      </c>
      <c r="I44" s="73">
        <v>0</v>
      </c>
    </row>
    <row r="45" spans="1:9" ht="24" x14ac:dyDescent="0.25">
      <c r="A45" s="2" t="s">
        <v>31</v>
      </c>
      <c r="B45" s="2" t="s">
        <v>116</v>
      </c>
      <c r="C45" s="2">
        <v>46001</v>
      </c>
      <c r="D45" s="76" t="s">
        <v>117</v>
      </c>
      <c r="E45" s="3" t="s">
        <v>34</v>
      </c>
      <c r="F45" s="3" t="s">
        <v>35</v>
      </c>
      <c r="G45" s="4" t="s">
        <v>36</v>
      </c>
      <c r="H45" s="72">
        <v>9665000</v>
      </c>
      <c r="I45" s="73">
        <v>0</v>
      </c>
    </row>
    <row r="46" spans="1:9" ht="24" x14ac:dyDescent="0.25">
      <c r="A46" s="2" t="s">
        <v>31</v>
      </c>
      <c r="B46" s="2" t="s">
        <v>118</v>
      </c>
      <c r="C46" s="2">
        <v>46001</v>
      </c>
      <c r="D46" s="76" t="s">
        <v>119</v>
      </c>
      <c r="E46" s="3" t="s">
        <v>34</v>
      </c>
      <c r="F46" s="3" t="s">
        <v>35</v>
      </c>
      <c r="G46" s="4" t="s">
        <v>36</v>
      </c>
      <c r="H46" s="72">
        <v>60482000</v>
      </c>
      <c r="I46" s="73">
        <v>0</v>
      </c>
    </row>
    <row r="47" spans="1:9" ht="24" x14ac:dyDescent="0.25">
      <c r="A47" s="2" t="s">
        <v>31</v>
      </c>
      <c r="B47" s="2" t="s">
        <v>120</v>
      </c>
      <c r="C47" s="2">
        <v>46001</v>
      </c>
      <c r="D47" s="76" t="s">
        <v>121</v>
      </c>
      <c r="E47" s="3" t="s">
        <v>34</v>
      </c>
      <c r="F47" s="3" t="s">
        <v>35</v>
      </c>
      <c r="G47" s="4" t="s">
        <v>36</v>
      </c>
      <c r="H47" s="72">
        <v>1598000</v>
      </c>
      <c r="I47" s="73">
        <v>0</v>
      </c>
    </row>
    <row r="48" spans="1:9" ht="24" x14ac:dyDescent="0.25">
      <c r="A48" s="2" t="s">
        <v>31</v>
      </c>
      <c r="B48" s="2" t="s">
        <v>122</v>
      </c>
      <c r="C48" s="2">
        <v>46001</v>
      </c>
      <c r="D48" s="76" t="s">
        <v>123</v>
      </c>
      <c r="E48" s="3" t="s">
        <v>34</v>
      </c>
      <c r="F48" s="3" t="s">
        <v>35</v>
      </c>
      <c r="G48" s="4" t="s">
        <v>36</v>
      </c>
      <c r="H48" s="72">
        <v>10605000</v>
      </c>
      <c r="I48" s="73">
        <v>0</v>
      </c>
    </row>
    <row r="49" spans="1:9" ht="24" x14ac:dyDescent="0.25">
      <c r="A49" s="2" t="s">
        <v>31</v>
      </c>
      <c r="B49" s="2" t="s">
        <v>124</v>
      </c>
      <c r="C49" s="2">
        <v>46001</v>
      </c>
      <c r="D49" s="76" t="s">
        <v>125</v>
      </c>
      <c r="E49" s="3" t="s">
        <v>34</v>
      </c>
      <c r="F49" s="3" t="s">
        <v>35</v>
      </c>
      <c r="G49" s="4" t="s">
        <v>36</v>
      </c>
      <c r="H49" s="72">
        <v>10225000</v>
      </c>
      <c r="I49" s="73">
        <v>0</v>
      </c>
    </row>
    <row r="50" spans="1:9" ht="24" x14ac:dyDescent="0.25">
      <c r="A50" s="2" t="s">
        <v>31</v>
      </c>
      <c r="B50" s="2" t="s">
        <v>126</v>
      </c>
      <c r="C50" s="2">
        <v>46001</v>
      </c>
      <c r="D50" s="76" t="s">
        <v>127</v>
      </c>
      <c r="E50" s="3" t="s">
        <v>34</v>
      </c>
      <c r="F50" s="3" t="s">
        <v>35</v>
      </c>
      <c r="G50" s="4" t="s">
        <v>36</v>
      </c>
      <c r="H50" s="72">
        <v>10705000</v>
      </c>
      <c r="I50" s="73">
        <v>0</v>
      </c>
    </row>
    <row r="51" spans="1:9" ht="24" x14ac:dyDescent="0.25">
      <c r="A51" s="2" t="s">
        <v>31</v>
      </c>
      <c r="B51" s="2" t="s">
        <v>128</v>
      </c>
      <c r="C51" s="2">
        <v>46001</v>
      </c>
      <c r="D51" s="76" t="s">
        <v>129</v>
      </c>
      <c r="E51" s="3" t="s">
        <v>34</v>
      </c>
      <c r="F51" s="3" t="s">
        <v>35</v>
      </c>
      <c r="G51" s="4" t="s">
        <v>36</v>
      </c>
      <c r="H51" s="72">
        <v>19301000</v>
      </c>
      <c r="I51" s="73">
        <v>0</v>
      </c>
    </row>
    <row r="52" spans="1:9" ht="24" x14ac:dyDescent="0.25">
      <c r="A52" s="2" t="s">
        <v>31</v>
      </c>
      <c r="B52" s="2" t="s">
        <v>130</v>
      </c>
      <c r="C52" s="2">
        <v>46001</v>
      </c>
      <c r="D52" s="76" t="s">
        <v>131</v>
      </c>
      <c r="E52" s="3" t="s">
        <v>34</v>
      </c>
      <c r="F52" s="3" t="s">
        <v>35</v>
      </c>
      <c r="G52" s="4" t="s">
        <v>36</v>
      </c>
      <c r="H52" s="72">
        <v>43707000</v>
      </c>
      <c r="I52" s="73">
        <v>0</v>
      </c>
    </row>
    <row r="53" spans="1:9" ht="24" x14ac:dyDescent="0.25">
      <c r="A53" s="2" t="s">
        <v>31</v>
      </c>
      <c r="B53" s="2" t="s">
        <v>132</v>
      </c>
      <c r="C53" s="2">
        <v>46001</v>
      </c>
      <c r="D53" s="76" t="s">
        <v>133</v>
      </c>
      <c r="E53" s="3" t="s">
        <v>34</v>
      </c>
      <c r="F53" s="3" t="s">
        <v>35</v>
      </c>
      <c r="G53" s="4" t="s">
        <v>36</v>
      </c>
      <c r="H53" s="72">
        <v>67784000</v>
      </c>
      <c r="I53" s="73">
        <v>0</v>
      </c>
    </row>
    <row r="54" spans="1:9" ht="24" x14ac:dyDescent="0.25">
      <c r="A54" s="2" t="s">
        <v>31</v>
      </c>
      <c r="B54" s="2" t="s">
        <v>134</v>
      </c>
      <c r="C54" s="2">
        <v>46001</v>
      </c>
      <c r="D54" s="76" t="s">
        <v>135</v>
      </c>
      <c r="E54" s="3" t="s">
        <v>34</v>
      </c>
      <c r="F54" s="3" t="s">
        <v>35</v>
      </c>
      <c r="G54" s="4" t="s">
        <v>36</v>
      </c>
      <c r="H54" s="72">
        <v>4786000</v>
      </c>
      <c r="I54" s="73">
        <v>0</v>
      </c>
    </row>
    <row r="55" spans="1:9" ht="24" x14ac:dyDescent="0.25">
      <c r="A55" s="2" t="s">
        <v>31</v>
      </c>
      <c r="B55" s="2" t="s">
        <v>136</v>
      </c>
      <c r="C55" s="2">
        <v>46001</v>
      </c>
      <c r="D55" s="76" t="s">
        <v>137</v>
      </c>
      <c r="E55" s="3" t="s">
        <v>34</v>
      </c>
      <c r="F55" s="3" t="s">
        <v>35</v>
      </c>
      <c r="G55" s="4" t="s">
        <v>36</v>
      </c>
      <c r="H55" s="72">
        <v>18000000</v>
      </c>
      <c r="I55" s="73">
        <v>0</v>
      </c>
    </row>
    <row r="56" spans="1:9" ht="24" x14ac:dyDescent="0.25">
      <c r="A56" s="2" t="s">
        <v>31</v>
      </c>
      <c r="B56" s="2" t="s">
        <v>138</v>
      </c>
      <c r="C56" s="2">
        <v>46001</v>
      </c>
      <c r="D56" s="76" t="s">
        <v>139</v>
      </c>
      <c r="E56" s="3" t="s">
        <v>34</v>
      </c>
      <c r="F56" s="3" t="s">
        <v>35</v>
      </c>
      <c r="G56" s="4" t="s">
        <v>36</v>
      </c>
      <c r="H56" s="72">
        <v>6855000</v>
      </c>
      <c r="I56" s="73">
        <v>0</v>
      </c>
    </row>
    <row r="57" spans="1:9" x14ac:dyDescent="0.25">
      <c r="A57" s="2" t="s">
        <v>31</v>
      </c>
      <c r="B57" s="2" t="s">
        <v>140</v>
      </c>
      <c r="C57" s="2">
        <v>46001</v>
      </c>
      <c r="D57" s="76" t="s">
        <v>141</v>
      </c>
      <c r="E57" s="3" t="s">
        <v>34</v>
      </c>
      <c r="F57" s="3" t="s">
        <v>142</v>
      </c>
      <c r="G57" s="4" t="s">
        <v>51</v>
      </c>
      <c r="H57" s="72">
        <v>250000000</v>
      </c>
      <c r="I57" s="73">
        <v>0</v>
      </c>
    </row>
    <row r="58" spans="1:9" ht="24" x14ac:dyDescent="0.25">
      <c r="A58" s="2" t="s">
        <v>37</v>
      </c>
      <c r="B58" s="2" t="s">
        <v>143</v>
      </c>
      <c r="C58" s="2">
        <v>46001</v>
      </c>
      <c r="D58" s="76" t="s">
        <v>144</v>
      </c>
      <c r="E58" s="3" t="s">
        <v>34</v>
      </c>
      <c r="F58" s="3" t="s">
        <v>34</v>
      </c>
      <c r="G58" s="4" t="s">
        <v>145</v>
      </c>
      <c r="H58" s="72">
        <v>0</v>
      </c>
      <c r="I58" s="73">
        <v>250000000</v>
      </c>
    </row>
    <row r="59" spans="1:9" ht="18" customHeight="1" x14ac:dyDescent="0.25">
      <c r="A59" s="14"/>
      <c r="B59" s="15"/>
      <c r="C59" s="14"/>
      <c r="D59" s="15" t="s">
        <v>1</v>
      </c>
      <c r="E59" s="15"/>
      <c r="F59" s="15"/>
      <c r="G59" s="16"/>
      <c r="H59" s="75">
        <f>SUM(H11:H58)</f>
        <v>837087751</v>
      </c>
      <c r="I59" s="75">
        <f>SUM(I11:I58)</f>
        <v>946753908</v>
      </c>
    </row>
    <row r="60" spans="1:9" x14ac:dyDescent="0.25">
      <c r="A60" s="14"/>
      <c r="B60" s="15"/>
      <c r="C60" s="14"/>
      <c r="D60" s="15" t="s">
        <v>2</v>
      </c>
      <c r="E60" s="15"/>
      <c r="F60" s="15"/>
      <c r="G60" s="16"/>
      <c r="H60" s="75">
        <f>H10+H59-I59</f>
        <v>23336084458</v>
      </c>
      <c r="I60" s="75">
        <v>0</v>
      </c>
    </row>
    <row r="61" spans="1:9" x14ac:dyDescent="0.25">
      <c r="A61" s="1"/>
      <c r="B61" s="1"/>
      <c r="C61" s="1"/>
      <c r="D61" s="1"/>
      <c r="E61" s="1"/>
      <c r="F61" s="1"/>
      <c r="G61" s="1"/>
      <c r="H61" s="18" t="s">
        <v>3</v>
      </c>
      <c r="I61" s="18"/>
    </row>
    <row r="62" spans="1:9" ht="15.75" x14ac:dyDescent="0.25">
      <c r="A62" s="19" t="s">
        <v>4</v>
      </c>
      <c r="B62" s="20"/>
      <c r="C62" s="20"/>
      <c r="D62" s="19" t="s">
        <v>5</v>
      </c>
      <c r="E62" s="19"/>
      <c r="F62" s="19"/>
      <c r="G62" s="19"/>
      <c r="H62" s="21" t="s">
        <v>6</v>
      </c>
      <c r="I62" s="18"/>
    </row>
    <row r="63" spans="1:9" x14ac:dyDescent="0.25">
      <c r="A63" s="22"/>
      <c r="B63" s="22"/>
      <c r="C63" s="1"/>
      <c r="D63" s="23"/>
      <c r="E63" s="23"/>
      <c r="F63" s="23"/>
      <c r="G63" s="24"/>
      <c r="H63" s="26"/>
      <c r="I63" s="1"/>
    </row>
    <row r="64" spans="1:9" x14ac:dyDescent="0.25">
      <c r="A64" s="22"/>
      <c r="B64" s="22"/>
      <c r="C64" s="1"/>
      <c r="D64" s="23"/>
      <c r="E64" s="23"/>
      <c r="F64" s="23"/>
      <c r="G64" s="24"/>
      <c r="H64" s="26"/>
      <c r="I64" s="1"/>
    </row>
    <row r="65" spans="1:9" x14ac:dyDescent="0.25">
      <c r="A65" s="22"/>
      <c r="B65" s="22"/>
      <c r="C65" s="1"/>
      <c r="D65" s="23"/>
      <c r="E65" s="23"/>
      <c r="F65" s="23"/>
      <c r="G65" s="24"/>
      <c r="H65" s="26"/>
      <c r="I65" s="1"/>
    </row>
    <row r="66" spans="1:9" x14ac:dyDescent="0.25">
      <c r="A66" s="22"/>
      <c r="B66" s="22"/>
      <c r="C66" s="1"/>
      <c r="D66" s="23"/>
      <c r="E66" s="23"/>
      <c r="F66" s="23"/>
      <c r="G66" s="24"/>
      <c r="H66" s="26"/>
      <c r="I66" s="1"/>
    </row>
    <row r="67" spans="1:9" ht="15.75" x14ac:dyDescent="0.25">
      <c r="A67" s="77" t="s">
        <v>34</v>
      </c>
      <c r="B67" s="20"/>
      <c r="C67" s="20"/>
      <c r="D67" s="27" t="s">
        <v>147</v>
      </c>
      <c r="E67" s="27"/>
      <c r="F67" s="27"/>
      <c r="G67" s="19"/>
      <c r="H67" s="28" t="s">
        <v>148</v>
      </c>
      <c r="I67" s="21"/>
    </row>
  </sheetData>
  <autoFilter ref="A10:I10" xr:uid="{00000000-0001-0000-0100-000000000000}"/>
  <pageMargins left="0.196850393700787" right="0.196850393700787" top="0.59055118110236204" bottom="0.15748031496063" header="0.196850393700787" footer="0"/>
  <pageSetup paperSize="9" orientation="portrait" r:id="rId1"/>
  <headerFooter>
    <oddHeader>&amp;R&amp;P/&amp;N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Q10"/>
  <sheetViews>
    <sheetView showGridLines="0" showZeros="0" workbookViewId="0"/>
  </sheetViews>
  <sheetFormatPr defaultRowHeight="15" x14ac:dyDescent="0.25"/>
  <cols>
    <col min="1" max="3" width="7.7109375" customWidth="1"/>
    <col min="4" max="4" width="25.7109375" customWidth="1"/>
    <col min="5" max="6" width="9.7109375" customWidth="1"/>
    <col min="7" max="7" width="5.7109375" customWidth="1"/>
    <col min="8" max="9" width="11.7109375" customWidth="1"/>
  </cols>
  <sheetData>
    <row r="1" spans="1:251" x14ac:dyDescent="0.25">
      <c r="A1" s="29" t="s">
        <v>7</v>
      </c>
      <c r="B1" s="29"/>
      <c r="C1" s="29"/>
      <c r="D1" s="29"/>
      <c r="E1" s="30"/>
      <c r="F1" s="30"/>
      <c r="G1" s="31"/>
      <c r="H1" s="18"/>
      <c r="I1" s="18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60"/>
      <c r="DA1" s="60"/>
      <c r="DB1" s="60"/>
      <c r="DC1" s="60"/>
      <c r="DD1" s="60"/>
      <c r="DE1" s="60"/>
      <c r="DF1" s="60"/>
      <c r="DG1" s="60"/>
      <c r="DH1" s="60"/>
      <c r="DI1" s="60"/>
      <c r="DJ1" s="60"/>
      <c r="DK1" s="60"/>
      <c r="DL1" s="60"/>
      <c r="DM1" s="60"/>
      <c r="DN1" s="60"/>
      <c r="DO1" s="60"/>
      <c r="DP1" s="60"/>
      <c r="DQ1" s="60"/>
      <c r="DR1" s="60"/>
      <c r="DS1" s="60"/>
      <c r="DT1" s="60"/>
      <c r="DU1" s="60"/>
      <c r="DV1" s="60"/>
      <c r="DW1" s="60"/>
      <c r="DX1" s="60"/>
      <c r="DY1" s="60"/>
      <c r="DZ1" s="60"/>
      <c r="EA1" s="60"/>
      <c r="EB1" s="60"/>
      <c r="EC1" s="60"/>
      <c r="ED1" s="60"/>
      <c r="EE1" s="60"/>
      <c r="EF1" s="60"/>
      <c r="EG1" s="60"/>
      <c r="EH1" s="60"/>
      <c r="EI1" s="60"/>
      <c r="EJ1" s="60"/>
      <c r="EK1" s="60"/>
      <c r="EL1" s="60"/>
      <c r="EM1" s="60"/>
      <c r="EN1" s="60"/>
      <c r="EO1" s="60"/>
      <c r="EP1" s="60"/>
      <c r="EQ1" s="60"/>
      <c r="ER1" s="60"/>
      <c r="ES1" s="60"/>
      <c r="ET1" s="60"/>
      <c r="EU1" s="60"/>
      <c r="EV1" s="60"/>
      <c r="EW1" s="60"/>
      <c r="EX1" s="60"/>
      <c r="EY1" s="60"/>
      <c r="EZ1" s="60"/>
      <c r="FA1" s="60"/>
      <c r="FB1" s="60"/>
      <c r="FC1" s="60"/>
      <c r="FD1" s="60"/>
      <c r="FE1" s="60"/>
      <c r="FF1" s="60"/>
      <c r="FG1" s="60"/>
      <c r="FH1" s="60"/>
      <c r="FI1" s="60"/>
      <c r="FJ1" s="60"/>
      <c r="FK1" s="60"/>
      <c r="FL1" s="60"/>
      <c r="FM1" s="60"/>
      <c r="FN1" s="60"/>
      <c r="FO1" s="60"/>
      <c r="FP1" s="60"/>
      <c r="FQ1" s="60"/>
      <c r="FR1" s="60"/>
      <c r="FS1" s="60"/>
      <c r="FT1" s="60"/>
      <c r="FU1" s="60"/>
      <c r="FV1" s="60"/>
      <c r="FW1" s="60"/>
      <c r="FX1" s="60"/>
      <c r="FY1" s="60"/>
      <c r="FZ1" s="60"/>
      <c r="GA1" s="60"/>
      <c r="GB1" s="60"/>
      <c r="GC1" s="60"/>
      <c r="GD1" s="60"/>
      <c r="GE1" s="60"/>
      <c r="GF1" s="60"/>
      <c r="GG1" s="60"/>
      <c r="GH1" s="60"/>
      <c r="GI1" s="60"/>
      <c r="GJ1" s="60"/>
      <c r="GK1" s="60"/>
      <c r="GL1" s="60"/>
      <c r="GM1" s="60"/>
      <c r="GN1" s="60"/>
      <c r="GO1" s="60"/>
      <c r="GP1" s="60"/>
      <c r="GQ1" s="60"/>
      <c r="GR1" s="60"/>
      <c r="GS1" s="60"/>
      <c r="GT1" s="60"/>
      <c r="GU1" s="60"/>
      <c r="GV1" s="60"/>
      <c r="GW1" s="60"/>
      <c r="GX1" s="60"/>
      <c r="GY1" s="60"/>
      <c r="GZ1" s="60"/>
      <c r="HA1" s="60"/>
      <c r="HB1" s="60"/>
      <c r="HC1" s="60"/>
      <c r="HD1" s="60"/>
      <c r="HE1" s="60"/>
      <c r="HF1" s="60"/>
      <c r="HG1" s="60"/>
      <c r="HH1" s="60"/>
      <c r="HI1" s="60"/>
      <c r="HJ1" s="60"/>
      <c r="HK1" s="60"/>
      <c r="HL1" s="60"/>
      <c r="HM1" s="60"/>
      <c r="HN1" s="60"/>
      <c r="HO1" s="60"/>
      <c r="HP1" s="60"/>
      <c r="HQ1" s="60"/>
      <c r="HR1" s="60"/>
      <c r="HS1" s="60"/>
      <c r="HT1" s="60"/>
      <c r="HU1" s="60"/>
      <c r="HV1" s="60"/>
      <c r="HW1" s="60"/>
      <c r="HX1" s="60"/>
      <c r="HY1" s="60"/>
      <c r="HZ1" s="60"/>
      <c r="IA1" s="60"/>
      <c r="IB1" s="60"/>
      <c r="IC1" s="60"/>
      <c r="ID1" s="60"/>
      <c r="IE1" s="60"/>
      <c r="IF1" s="60"/>
      <c r="IG1" s="60"/>
      <c r="IH1" s="60"/>
      <c r="II1" s="60"/>
      <c r="IJ1" s="60"/>
      <c r="IK1" s="60"/>
      <c r="IL1" s="60"/>
      <c r="IM1" s="60"/>
      <c r="IN1" s="60"/>
      <c r="IO1" s="60"/>
      <c r="IP1" s="60"/>
      <c r="IQ1" s="60"/>
    </row>
    <row r="2" spans="1:251" x14ac:dyDescent="0.25">
      <c r="A2" s="29" t="s">
        <v>8</v>
      </c>
      <c r="B2" s="29"/>
      <c r="C2" s="29"/>
      <c r="D2" s="29"/>
      <c r="E2" s="30"/>
      <c r="F2" s="30"/>
      <c r="G2" s="31"/>
      <c r="H2" s="18"/>
      <c r="I2" s="18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0"/>
      <c r="FB2" s="60"/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60"/>
      <c r="GG2" s="60"/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60"/>
      <c r="HM2" s="60"/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</row>
    <row r="3" spans="1:251" x14ac:dyDescent="0.25">
      <c r="A3" s="33" t="s">
        <v>9</v>
      </c>
      <c r="B3" s="34"/>
      <c r="C3" s="34"/>
      <c r="D3" s="35"/>
      <c r="E3" s="34"/>
      <c r="F3" s="34"/>
      <c r="G3" s="36"/>
      <c r="H3" s="18"/>
      <c r="I3" s="18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  <c r="EY3" s="60"/>
      <c r="EZ3" s="60"/>
      <c r="FA3" s="60"/>
      <c r="FB3" s="60"/>
      <c r="FC3" s="60"/>
      <c r="FD3" s="60"/>
      <c r="FE3" s="60"/>
      <c r="FF3" s="60"/>
      <c r="FG3" s="60"/>
      <c r="FH3" s="60"/>
      <c r="FI3" s="60"/>
      <c r="FJ3" s="60"/>
      <c r="FK3" s="60"/>
      <c r="FL3" s="60"/>
      <c r="FM3" s="60"/>
      <c r="FN3" s="60"/>
      <c r="FO3" s="60"/>
      <c r="FP3" s="60"/>
      <c r="FQ3" s="60"/>
      <c r="FR3" s="60"/>
      <c r="FS3" s="60"/>
      <c r="FT3" s="60"/>
      <c r="FU3" s="60"/>
      <c r="FV3" s="60"/>
      <c r="FW3" s="60"/>
      <c r="FX3" s="60"/>
      <c r="FY3" s="60"/>
      <c r="FZ3" s="60"/>
      <c r="GA3" s="60"/>
      <c r="GB3" s="60"/>
      <c r="GC3" s="60"/>
      <c r="GD3" s="60"/>
      <c r="GE3" s="60"/>
      <c r="GF3" s="60"/>
      <c r="GG3" s="60"/>
      <c r="GH3" s="60"/>
      <c r="GI3" s="60"/>
      <c r="GJ3" s="60"/>
      <c r="GK3" s="60"/>
      <c r="GL3" s="60"/>
      <c r="GM3" s="60"/>
      <c r="GN3" s="60"/>
      <c r="GO3" s="60"/>
      <c r="GP3" s="60"/>
      <c r="GQ3" s="60"/>
      <c r="GR3" s="60"/>
      <c r="GS3" s="60"/>
      <c r="GT3" s="60"/>
      <c r="GU3" s="60"/>
      <c r="GV3" s="60"/>
      <c r="GW3" s="60"/>
      <c r="GX3" s="60"/>
      <c r="GY3" s="60"/>
      <c r="GZ3" s="60"/>
      <c r="HA3" s="60"/>
      <c r="HB3" s="60"/>
      <c r="HC3" s="60"/>
      <c r="HD3" s="60"/>
      <c r="HE3" s="60"/>
      <c r="HF3" s="60"/>
      <c r="HG3" s="60"/>
      <c r="HH3" s="60"/>
      <c r="HI3" s="60"/>
      <c r="HJ3" s="60"/>
      <c r="HK3" s="60"/>
      <c r="HL3" s="60"/>
      <c r="HM3" s="60"/>
      <c r="HN3" s="60"/>
      <c r="HO3" s="60"/>
      <c r="HP3" s="60"/>
      <c r="HQ3" s="60"/>
      <c r="HR3" s="60"/>
      <c r="HS3" s="60"/>
      <c r="HT3" s="60"/>
      <c r="HU3" s="60"/>
      <c r="HV3" s="60"/>
      <c r="HW3" s="60"/>
      <c r="HX3" s="60"/>
      <c r="HY3" s="60"/>
      <c r="HZ3" s="60"/>
      <c r="IA3" s="60"/>
      <c r="IB3" s="60"/>
      <c r="IC3" s="60"/>
      <c r="ID3" s="60"/>
      <c r="IE3" s="60"/>
      <c r="IF3" s="60"/>
      <c r="IG3" s="60"/>
      <c r="IH3" s="60"/>
      <c r="II3" s="60"/>
      <c r="IJ3" s="60"/>
      <c r="IK3" s="60"/>
      <c r="IL3" s="60"/>
      <c r="IM3" s="60"/>
      <c r="IN3" s="60"/>
      <c r="IO3" s="60"/>
      <c r="IP3" s="60"/>
      <c r="IQ3" s="60"/>
    </row>
    <row r="4" spans="1:251" ht="15.75" x14ac:dyDescent="0.25">
      <c r="A4" s="37" t="s">
        <v>10</v>
      </c>
      <c r="B4" s="20"/>
      <c r="C4" s="30"/>
      <c r="D4" s="37"/>
      <c r="E4" s="37"/>
      <c r="F4" s="37"/>
      <c r="G4" s="37"/>
      <c r="H4" s="28"/>
      <c r="I4" s="28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0"/>
      <c r="CL4" s="60"/>
      <c r="CM4" s="60"/>
      <c r="CN4" s="60"/>
      <c r="CO4" s="60"/>
      <c r="CP4" s="60"/>
      <c r="CQ4" s="60"/>
      <c r="CR4" s="60"/>
      <c r="CS4" s="60"/>
      <c r="CT4" s="60"/>
      <c r="CU4" s="60"/>
      <c r="CV4" s="60"/>
      <c r="CW4" s="60"/>
      <c r="CX4" s="60"/>
      <c r="CY4" s="60"/>
      <c r="CZ4" s="60"/>
      <c r="DA4" s="60"/>
      <c r="DB4" s="60"/>
      <c r="DC4" s="60"/>
      <c r="DD4" s="60"/>
      <c r="DE4" s="60"/>
      <c r="DF4" s="60"/>
      <c r="DG4" s="60"/>
      <c r="DH4" s="60"/>
      <c r="DI4" s="60"/>
      <c r="DJ4" s="60"/>
      <c r="DK4" s="60"/>
      <c r="DL4" s="60"/>
      <c r="DM4" s="60"/>
      <c r="DN4" s="60"/>
      <c r="DO4" s="60"/>
      <c r="DP4" s="60"/>
      <c r="DQ4" s="60"/>
      <c r="DR4" s="60"/>
      <c r="DS4" s="60"/>
      <c r="DT4" s="60"/>
      <c r="DU4" s="60"/>
      <c r="DV4" s="60"/>
      <c r="DW4" s="60"/>
      <c r="DX4" s="60"/>
      <c r="DY4" s="60"/>
      <c r="DZ4" s="60"/>
      <c r="EA4" s="60"/>
      <c r="EB4" s="60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0"/>
      <c r="ER4" s="60"/>
      <c r="ES4" s="60"/>
      <c r="ET4" s="60"/>
      <c r="EU4" s="60"/>
      <c r="EV4" s="60"/>
      <c r="EW4" s="60"/>
      <c r="EX4" s="60"/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0"/>
      <c r="FP4" s="60"/>
      <c r="FQ4" s="60"/>
      <c r="FR4" s="60"/>
      <c r="FS4" s="60"/>
      <c r="FT4" s="60"/>
      <c r="FU4" s="60"/>
      <c r="FV4" s="60"/>
      <c r="FW4" s="60"/>
      <c r="FX4" s="60"/>
      <c r="FY4" s="60"/>
      <c r="FZ4" s="60"/>
      <c r="GA4" s="60"/>
      <c r="GB4" s="60"/>
      <c r="GC4" s="60"/>
      <c r="GD4" s="60"/>
      <c r="GE4" s="60"/>
      <c r="GF4" s="60"/>
      <c r="GG4" s="60"/>
      <c r="GH4" s="60"/>
      <c r="GI4" s="60"/>
      <c r="GJ4" s="60"/>
      <c r="GK4" s="60"/>
      <c r="GL4" s="60"/>
      <c r="GM4" s="60"/>
      <c r="GN4" s="60"/>
      <c r="GO4" s="60"/>
      <c r="GP4" s="60"/>
      <c r="GQ4" s="60"/>
      <c r="GR4" s="60"/>
      <c r="GS4" s="60"/>
      <c r="GT4" s="60"/>
      <c r="GU4" s="60"/>
      <c r="GV4" s="60"/>
      <c r="GW4" s="60"/>
      <c r="GX4" s="60"/>
      <c r="GY4" s="60"/>
      <c r="GZ4" s="60"/>
      <c r="HA4" s="60"/>
      <c r="HB4" s="60"/>
      <c r="HC4" s="60"/>
      <c r="HD4" s="60"/>
      <c r="HE4" s="60"/>
      <c r="HF4" s="60"/>
      <c r="HG4" s="60"/>
      <c r="HH4" s="60"/>
      <c r="HI4" s="60"/>
      <c r="HJ4" s="60"/>
      <c r="HK4" s="60"/>
      <c r="HL4" s="60"/>
      <c r="HM4" s="60"/>
      <c r="HN4" s="60"/>
      <c r="HO4" s="60"/>
      <c r="HP4" s="60"/>
      <c r="HQ4" s="60"/>
      <c r="HR4" s="60"/>
      <c r="HS4" s="60"/>
      <c r="HT4" s="60"/>
      <c r="HU4" s="60"/>
      <c r="HV4" s="60"/>
      <c r="HW4" s="60"/>
      <c r="HX4" s="60"/>
      <c r="HY4" s="60"/>
      <c r="HZ4" s="60"/>
      <c r="IA4" s="60"/>
      <c r="IB4" s="60"/>
      <c r="IC4" s="60"/>
      <c r="ID4" s="60"/>
      <c r="IE4" s="60"/>
      <c r="IF4" s="60"/>
      <c r="IG4" s="60"/>
      <c r="IH4" s="60"/>
      <c r="II4" s="60"/>
      <c r="IJ4" s="60"/>
      <c r="IK4" s="60"/>
      <c r="IL4" s="60"/>
      <c r="IM4" s="60"/>
      <c r="IN4" s="60"/>
      <c r="IO4" s="60"/>
      <c r="IP4" s="60"/>
      <c r="IQ4" s="60"/>
    </row>
    <row r="5" spans="1:251" ht="15.75" x14ac:dyDescent="0.25">
      <c r="A5" s="39" t="s">
        <v>11</v>
      </c>
      <c r="B5" s="40"/>
      <c r="C5" s="40"/>
      <c r="D5" s="41"/>
      <c r="E5" s="41"/>
      <c r="F5" s="41"/>
      <c r="G5" s="40"/>
      <c r="H5" s="43"/>
      <c r="I5" s="43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  <c r="BM5" s="60"/>
      <c r="BN5" s="60"/>
      <c r="BO5" s="60"/>
      <c r="BP5" s="60"/>
      <c r="BQ5" s="60"/>
      <c r="BR5" s="60"/>
      <c r="BS5" s="60"/>
      <c r="BT5" s="60"/>
      <c r="BU5" s="60"/>
      <c r="BV5" s="60"/>
      <c r="BW5" s="60"/>
      <c r="BX5" s="60"/>
      <c r="BY5" s="60"/>
      <c r="BZ5" s="60"/>
      <c r="CA5" s="60"/>
      <c r="CB5" s="60"/>
      <c r="CC5" s="60"/>
      <c r="CD5" s="60"/>
      <c r="CE5" s="60"/>
      <c r="CF5" s="60"/>
      <c r="CG5" s="60"/>
      <c r="CH5" s="60"/>
      <c r="CI5" s="60"/>
      <c r="CJ5" s="60"/>
      <c r="CK5" s="60"/>
      <c r="CL5" s="60"/>
      <c r="CM5" s="60"/>
      <c r="CN5" s="60"/>
      <c r="CO5" s="60"/>
      <c r="CP5" s="60"/>
      <c r="CQ5" s="60"/>
      <c r="CR5" s="60"/>
      <c r="CS5" s="60"/>
      <c r="CT5" s="60"/>
      <c r="CU5" s="60"/>
      <c r="CV5" s="60"/>
      <c r="CW5" s="60"/>
      <c r="CX5" s="60"/>
      <c r="CY5" s="60"/>
      <c r="CZ5" s="60"/>
      <c r="DA5" s="60"/>
      <c r="DB5" s="60"/>
      <c r="DC5" s="60"/>
      <c r="DD5" s="60"/>
      <c r="DE5" s="60"/>
      <c r="DF5" s="60"/>
      <c r="DG5" s="60"/>
      <c r="DH5" s="60"/>
      <c r="DI5" s="60"/>
      <c r="DJ5" s="60"/>
      <c r="DK5" s="60"/>
      <c r="DL5" s="60"/>
      <c r="DM5" s="60"/>
      <c r="DN5" s="60"/>
      <c r="DO5" s="60"/>
      <c r="DP5" s="60"/>
      <c r="DQ5" s="60"/>
      <c r="DR5" s="60"/>
      <c r="DS5" s="60"/>
      <c r="DT5" s="60"/>
      <c r="DU5" s="60"/>
      <c r="DV5" s="60"/>
      <c r="DW5" s="60"/>
      <c r="DX5" s="60"/>
      <c r="DY5" s="60"/>
      <c r="DZ5" s="60"/>
      <c r="EA5" s="60"/>
      <c r="EB5" s="60"/>
      <c r="EC5" s="60"/>
      <c r="ED5" s="60"/>
      <c r="EE5" s="60"/>
      <c r="EF5" s="60"/>
      <c r="EG5" s="60"/>
      <c r="EH5" s="60"/>
      <c r="EI5" s="60"/>
      <c r="EJ5" s="60"/>
      <c r="EK5" s="60"/>
      <c r="EL5" s="60"/>
      <c r="EM5" s="60"/>
      <c r="EN5" s="60"/>
      <c r="EO5" s="60"/>
      <c r="EP5" s="60"/>
      <c r="EQ5" s="60"/>
      <c r="ER5" s="60"/>
      <c r="ES5" s="60"/>
      <c r="ET5" s="60"/>
      <c r="EU5" s="60"/>
      <c r="EV5" s="60"/>
      <c r="EW5" s="60"/>
      <c r="EX5" s="60"/>
      <c r="EY5" s="60"/>
      <c r="EZ5" s="60"/>
      <c r="FA5" s="60"/>
      <c r="FB5" s="60"/>
      <c r="FC5" s="60"/>
      <c r="FD5" s="60"/>
      <c r="FE5" s="60"/>
      <c r="FF5" s="60"/>
      <c r="FG5" s="60"/>
      <c r="FH5" s="60"/>
      <c r="FI5" s="60"/>
      <c r="FJ5" s="60"/>
      <c r="FK5" s="60"/>
      <c r="FL5" s="60"/>
      <c r="FM5" s="60"/>
      <c r="FN5" s="60"/>
      <c r="FO5" s="60"/>
      <c r="FP5" s="60"/>
      <c r="FQ5" s="60"/>
      <c r="FR5" s="60"/>
      <c r="FS5" s="60"/>
      <c r="FT5" s="60"/>
      <c r="FU5" s="60"/>
      <c r="FV5" s="60"/>
      <c r="FW5" s="60"/>
      <c r="FX5" s="60"/>
      <c r="FY5" s="60"/>
      <c r="FZ5" s="60"/>
      <c r="GA5" s="60"/>
      <c r="GB5" s="60"/>
      <c r="GC5" s="60"/>
      <c r="GD5" s="60"/>
      <c r="GE5" s="60"/>
      <c r="GF5" s="60"/>
      <c r="GG5" s="60"/>
      <c r="GH5" s="60"/>
      <c r="GI5" s="60"/>
      <c r="GJ5" s="60"/>
      <c r="GK5" s="60"/>
      <c r="GL5" s="60"/>
      <c r="GM5" s="60"/>
      <c r="GN5" s="60"/>
      <c r="GO5" s="60"/>
      <c r="GP5" s="60"/>
      <c r="GQ5" s="60"/>
      <c r="GR5" s="60"/>
      <c r="GS5" s="60"/>
      <c r="GT5" s="60"/>
      <c r="GU5" s="60"/>
      <c r="GV5" s="60"/>
      <c r="GW5" s="60"/>
      <c r="GX5" s="60"/>
      <c r="GY5" s="60"/>
      <c r="GZ5" s="60"/>
      <c r="HA5" s="60"/>
      <c r="HB5" s="60"/>
      <c r="HC5" s="60"/>
      <c r="HD5" s="60"/>
      <c r="HE5" s="60"/>
      <c r="HF5" s="60"/>
      <c r="HG5" s="60"/>
      <c r="HH5" s="60"/>
      <c r="HI5" s="60"/>
      <c r="HJ5" s="60"/>
      <c r="HK5" s="60"/>
      <c r="HL5" s="60"/>
      <c r="HM5" s="60"/>
      <c r="HN5" s="60"/>
      <c r="HO5" s="60"/>
      <c r="HP5" s="60"/>
      <c r="HQ5" s="60"/>
      <c r="HR5" s="60"/>
      <c r="HS5" s="60"/>
      <c r="HT5" s="60"/>
      <c r="HU5" s="60"/>
      <c r="HV5" s="60"/>
      <c r="HW5" s="60"/>
      <c r="HX5" s="60"/>
      <c r="HY5" s="60"/>
      <c r="HZ5" s="60"/>
      <c r="IA5" s="60"/>
      <c r="IB5" s="60"/>
      <c r="IC5" s="60"/>
      <c r="ID5" s="60"/>
      <c r="IE5" s="60"/>
      <c r="IF5" s="60"/>
      <c r="IG5" s="60"/>
      <c r="IH5" s="60"/>
      <c r="II5" s="60"/>
      <c r="IJ5" s="60"/>
      <c r="IK5" s="60"/>
      <c r="IL5" s="60"/>
      <c r="IM5" s="60"/>
      <c r="IN5" s="60"/>
      <c r="IO5" s="60"/>
      <c r="IP5" s="60"/>
      <c r="IQ5" s="60"/>
    </row>
    <row r="6" spans="1:251" ht="15.75" x14ac:dyDescent="0.25">
      <c r="A6" s="44" t="s">
        <v>12</v>
      </c>
      <c r="B6" s="19"/>
      <c r="C6" s="44"/>
      <c r="D6" s="45"/>
      <c r="E6" s="45"/>
      <c r="F6" s="45"/>
      <c r="G6" s="45"/>
      <c r="H6" s="47"/>
      <c r="I6" s="47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60"/>
      <c r="BL6" s="60"/>
      <c r="BM6" s="60"/>
      <c r="BN6" s="60"/>
      <c r="BO6" s="60"/>
      <c r="BP6" s="60"/>
      <c r="BQ6" s="60"/>
      <c r="BR6" s="60"/>
      <c r="BS6" s="60"/>
      <c r="BT6" s="60"/>
      <c r="BU6" s="60"/>
      <c r="BV6" s="60"/>
      <c r="BW6" s="60"/>
      <c r="BX6" s="60"/>
      <c r="BY6" s="60"/>
      <c r="BZ6" s="60"/>
      <c r="CA6" s="60"/>
      <c r="CB6" s="60"/>
      <c r="CC6" s="60"/>
      <c r="CD6" s="60"/>
      <c r="CE6" s="60"/>
      <c r="CF6" s="60"/>
      <c r="CG6" s="60"/>
      <c r="CH6" s="60"/>
      <c r="CI6" s="60"/>
      <c r="CJ6" s="60"/>
      <c r="CK6" s="60"/>
      <c r="CL6" s="60"/>
      <c r="CM6" s="60"/>
      <c r="CN6" s="60"/>
      <c r="CO6" s="60"/>
      <c r="CP6" s="60"/>
      <c r="CQ6" s="60"/>
      <c r="CR6" s="60"/>
      <c r="CS6" s="60"/>
      <c r="CT6" s="60"/>
      <c r="CU6" s="60"/>
      <c r="CV6" s="60"/>
      <c r="CW6" s="60"/>
      <c r="CX6" s="60"/>
      <c r="CY6" s="60"/>
      <c r="CZ6" s="60"/>
      <c r="DA6" s="60"/>
      <c r="DB6" s="60"/>
      <c r="DC6" s="60"/>
      <c r="DD6" s="60"/>
      <c r="DE6" s="60"/>
      <c r="DF6" s="60"/>
      <c r="DG6" s="60"/>
      <c r="DH6" s="60"/>
      <c r="DI6" s="60"/>
      <c r="DJ6" s="60"/>
      <c r="DK6" s="60"/>
      <c r="DL6" s="60"/>
      <c r="DM6" s="60"/>
      <c r="DN6" s="60"/>
      <c r="DO6" s="60"/>
      <c r="DP6" s="60"/>
      <c r="DQ6" s="60"/>
      <c r="DR6" s="60"/>
      <c r="DS6" s="60"/>
      <c r="DT6" s="60"/>
      <c r="DU6" s="60"/>
      <c r="DV6" s="60"/>
      <c r="DW6" s="60"/>
      <c r="DX6" s="60"/>
      <c r="DY6" s="60"/>
      <c r="DZ6" s="60"/>
      <c r="EA6" s="60"/>
      <c r="EB6" s="60"/>
      <c r="EC6" s="60"/>
      <c r="ED6" s="60"/>
      <c r="EE6" s="60"/>
      <c r="EF6" s="60"/>
      <c r="EG6" s="60"/>
      <c r="EH6" s="60"/>
      <c r="EI6" s="60"/>
      <c r="EJ6" s="60"/>
      <c r="EK6" s="60"/>
      <c r="EL6" s="60"/>
      <c r="EM6" s="60"/>
      <c r="EN6" s="60"/>
      <c r="EO6" s="60"/>
      <c r="EP6" s="60"/>
      <c r="EQ6" s="60"/>
      <c r="ER6" s="60"/>
      <c r="ES6" s="60"/>
      <c r="ET6" s="60"/>
      <c r="EU6" s="60"/>
      <c r="EV6" s="60"/>
      <c r="EW6" s="60"/>
      <c r="EX6" s="60"/>
      <c r="EY6" s="60"/>
      <c r="EZ6" s="60"/>
      <c r="FA6" s="60"/>
      <c r="FB6" s="60"/>
      <c r="FC6" s="60"/>
      <c r="FD6" s="60"/>
      <c r="FE6" s="60"/>
      <c r="FF6" s="60"/>
      <c r="FG6" s="60"/>
      <c r="FH6" s="60"/>
      <c r="FI6" s="60"/>
      <c r="FJ6" s="60"/>
      <c r="FK6" s="60"/>
      <c r="FL6" s="60"/>
      <c r="FM6" s="60"/>
      <c r="FN6" s="60"/>
      <c r="FO6" s="60"/>
      <c r="FP6" s="60"/>
      <c r="FQ6" s="60"/>
      <c r="FR6" s="60"/>
      <c r="FS6" s="60"/>
      <c r="FT6" s="60"/>
      <c r="FU6" s="60"/>
      <c r="FV6" s="60"/>
      <c r="FW6" s="60"/>
      <c r="FX6" s="60"/>
      <c r="FY6" s="60"/>
      <c r="FZ6" s="60"/>
      <c r="GA6" s="60"/>
      <c r="GB6" s="60"/>
      <c r="GC6" s="60"/>
      <c r="GD6" s="60"/>
      <c r="GE6" s="60"/>
      <c r="GF6" s="60"/>
      <c r="GG6" s="60"/>
      <c r="GH6" s="60"/>
      <c r="GI6" s="60"/>
      <c r="GJ6" s="60"/>
      <c r="GK6" s="60"/>
      <c r="GL6" s="60"/>
      <c r="GM6" s="60"/>
      <c r="GN6" s="60"/>
      <c r="GO6" s="60"/>
      <c r="GP6" s="60"/>
      <c r="GQ6" s="60"/>
      <c r="GR6" s="60"/>
      <c r="GS6" s="60"/>
      <c r="GT6" s="60"/>
      <c r="GU6" s="60"/>
      <c r="GV6" s="60"/>
      <c r="GW6" s="60"/>
      <c r="GX6" s="60"/>
      <c r="GY6" s="60"/>
      <c r="GZ6" s="60"/>
      <c r="HA6" s="60"/>
      <c r="HB6" s="60"/>
      <c r="HC6" s="60"/>
      <c r="HD6" s="60"/>
      <c r="HE6" s="60"/>
      <c r="HF6" s="60"/>
      <c r="HG6" s="60"/>
      <c r="HH6" s="60"/>
      <c r="HI6" s="60"/>
      <c r="HJ6" s="60"/>
      <c r="HK6" s="60"/>
      <c r="HL6" s="60"/>
      <c r="HM6" s="60"/>
      <c r="HN6" s="60"/>
      <c r="HO6" s="60"/>
      <c r="HP6" s="60"/>
      <c r="HQ6" s="60"/>
      <c r="HR6" s="60"/>
      <c r="HS6" s="60"/>
      <c r="HT6" s="60"/>
      <c r="HU6" s="60"/>
      <c r="HV6" s="60"/>
      <c r="HW6" s="60"/>
      <c r="HX6" s="60"/>
      <c r="HY6" s="60"/>
      <c r="HZ6" s="60"/>
      <c r="IA6" s="60"/>
      <c r="IB6" s="60"/>
      <c r="IC6" s="60"/>
      <c r="ID6" s="60"/>
      <c r="IE6" s="60"/>
      <c r="IF6" s="60"/>
      <c r="IG6" s="60"/>
      <c r="IH6" s="60"/>
      <c r="II6" s="60"/>
      <c r="IJ6" s="60"/>
      <c r="IK6" s="60"/>
      <c r="IL6" s="60"/>
      <c r="IM6" s="60"/>
      <c r="IN6" s="60"/>
      <c r="IO6" s="60"/>
      <c r="IP6" s="60"/>
      <c r="IQ6" s="60"/>
    </row>
    <row r="7" spans="1:251" x14ac:dyDescent="0.25">
      <c r="A7" s="48"/>
      <c r="B7" s="60"/>
      <c r="C7" s="48"/>
      <c r="D7" s="49"/>
      <c r="E7" s="49"/>
      <c r="F7" s="49"/>
      <c r="G7" s="49"/>
      <c r="H7" s="51"/>
      <c r="I7" s="51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  <c r="BV7" s="60"/>
      <c r="BW7" s="60"/>
      <c r="BX7" s="60"/>
      <c r="BY7" s="60"/>
      <c r="BZ7" s="60"/>
      <c r="CA7" s="60"/>
      <c r="CB7" s="60"/>
      <c r="CC7" s="60"/>
      <c r="CD7" s="60"/>
      <c r="CE7" s="60"/>
      <c r="CF7" s="60"/>
      <c r="CG7" s="60"/>
      <c r="CH7" s="60"/>
      <c r="CI7" s="60"/>
      <c r="CJ7" s="60"/>
      <c r="CK7" s="60"/>
      <c r="CL7" s="60"/>
      <c r="CM7" s="60"/>
      <c r="CN7" s="60"/>
      <c r="CO7" s="60"/>
      <c r="CP7" s="60"/>
      <c r="CQ7" s="60"/>
      <c r="CR7" s="60"/>
      <c r="CS7" s="60"/>
      <c r="CT7" s="60"/>
      <c r="CU7" s="60"/>
      <c r="CV7" s="60"/>
      <c r="CW7" s="60"/>
      <c r="CX7" s="60"/>
      <c r="CY7" s="60"/>
      <c r="CZ7" s="60"/>
      <c r="DA7" s="60"/>
      <c r="DB7" s="60"/>
      <c r="DC7" s="60"/>
      <c r="DD7" s="60"/>
      <c r="DE7" s="60"/>
      <c r="DF7" s="60"/>
      <c r="DG7" s="60"/>
      <c r="DH7" s="60"/>
      <c r="DI7" s="60"/>
      <c r="DJ7" s="60"/>
      <c r="DK7" s="60"/>
      <c r="DL7" s="60"/>
      <c r="DM7" s="60"/>
      <c r="DN7" s="60"/>
      <c r="DO7" s="60"/>
      <c r="DP7" s="60"/>
      <c r="DQ7" s="60"/>
      <c r="DR7" s="60"/>
      <c r="DS7" s="60"/>
      <c r="DT7" s="60"/>
      <c r="DU7" s="60"/>
      <c r="DV7" s="60"/>
      <c r="DW7" s="60"/>
      <c r="DX7" s="60"/>
      <c r="DY7" s="60"/>
      <c r="DZ7" s="60"/>
      <c r="EA7" s="60"/>
      <c r="EB7" s="60"/>
      <c r="EC7" s="60"/>
      <c r="ED7" s="60"/>
      <c r="EE7" s="60"/>
      <c r="EF7" s="60"/>
      <c r="EG7" s="60"/>
      <c r="EH7" s="60"/>
      <c r="EI7" s="60"/>
      <c r="EJ7" s="60"/>
      <c r="EK7" s="60"/>
      <c r="EL7" s="60"/>
      <c r="EM7" s="60"/>
      <c r="EN7" s="60"/>
      <c r="EO7" s="60"/>
      <c r="EP7" s="60"/>
      <c r="EQ7" s="60"/>
      <c r="ER7" s="60"/>
      <c r="ES7" s="60"/>
      <c r="ET7" s="60"/>
      <c r="EU7" s="60"/>
      <c r="EV7" s="60"/>
      <c r="EW7" s="60"/>
      <c r="EX7" s="60"/>
      <c r="EY7" s="60"/>
      <c r="EZ7" s="60"/>
      <c r="FA7" s="60"/>
      <c r="FB7" s="60"/>
      <c r="FC7" s="60"/>
      <c r="FD7" s="60"/>
      <c r="FE7" s="60"/>
      <c r="FF7" s="60"/>
      <c r="FG7" s="60"/>
      <c r="FH7" s="60"/>
      <c r="FI7" s="60"/>
      <c r="FJ7" s="60"/>
      <c r="FK7" s="60"/>
      <c r="FL7" s="60"/>
      <c r="FM7" s="60"/>
      <c r="FN7" s="60"/>
      <c r="FO7" s="60"/>
      <c r="FP7" s="60"/>
      <c r="FQ7" s="60"/>
      <c r="FR7" s="60"/>
      <c r="FS7" s="60"/>
      <c r="FT7" s="60"/>
      <c r="FU7" s="60"/>
      <c r="FV7" s="60"/>
      <c r="FW7" s="60"/>
      <c r="FX7" s="60"/>
      <c r="FY7" s="60"/>
      <c r="FZ7" s="60"/>
      <c r="GA7" s="60"/>
      <c r="GB7" s="60"/>
      <c r="GC7" s="60"/>
      <c r="GD7" s="60"/>
      <c r="GE7" s="60"/>
      <c r="GF7" s="60"/>
      <c r="GG7" s="60"/>
      <c r="GH7" s="60"/>
      <c r="GI7" s="60"/>
      <c r="GJ7" s="60"/>
      <c r="GK7" s="60"/>
      <c r="GL7" s="60"/>
      <c r="GM7" s="60"/>
      <c r="GN7" s="60"/>
      <c r="GO7" s="60"/>
      <c r="GP7" s="60"/>
      <c r="GQ7" s="60"/>
      <c r="GR7" s="60"/>
      <c r="GS7" s="60"/>
      <c r="GT7" s="60"/>
      <c r="GU7" s="60"/>
      <c r="GV7" s="60"/>
      <c r="GW7" s="60"/>
      <c r="GX7" s="60"/>
      <c r="GY7" s="60"/>
      <c r="GZ7" s="60"/>
      <c r="HA7" s="60"/>
      <c r="HB7" s="60"/>
      <c r="HC7" s="60"/>
      <c r="HD7" s="60"/>
      <c r="HE7" s="60"/>
      <c r="HF7" s="60"/>
      <c r="HG7" s="60"/>
      <c r="HH7" s="60"/>
      <c r="HI7" s="60"/>
      <c r="HJ7" s="60"/>
      <c r="HK7" s="60"/>
      <c r="HL7" s="60"/>
      <c r="HM7" s="60"/>
      <c r="HN7" s="60"/>
      <c r="HO7" s="60"/>
      <c r="HP7" s="60"/>
      <c r="HQ7" s="60"/>
      <c r="HR7" s="60"/>
      <c r="HS7" s="60"/>
      <c r="HT7" s="60"/>
      <c r="HU7" s="60"/>
      <c r="HV7" s="60"/>
      <c r="HW7" s="60"/>
      <c r="HX7" s="60"/>
      <c r="HY7" s="60"/>
      <c r="HZ7" s="60"/>
      <c r="IA7" s="60"/>
      <c r="IB7" s="60"/>
      <c r="IC7" s="60"/>
      <c r="ID7" s="60"/>
      <c r="IE7" s="60"/>
      <c r="IF7" s="60"/>
      <c r="IG7" s="60"/>
      <c r="IH7" s="60"/>
      <c r="II7" s="60"/>
      <c r="IJ7" s="60"/>
      <c r="IK7" s="60"/>
      <c r="IL7" s="60"/>
      <c r="IM7" s="60"/>
      <c r="IN7" s="60"/>
      <c r="IO7" s="60"/>
      <c r="IP7" s="60"/>
      <c r="IQ7" s="60"/>
    </row>
    <row r="8" spans="1:251" x14ac:dyDescent="0.25">
      <c r="A8" s="61" t="s">
        <v>13</v>
      </c>
      <c r="B8" s="62" t="s">
        <v>14</v>
      </c>
      <c r="C8" s="63"/>
      <c r="D8" s="64" t="s">
        <v>15</v>
      </c>
      <c r="E8" s="65" t="s">
        <v>25</v>
      </c>
      <c r="F8" s="65"/>
      <c r="G8" s="66" t="s">
        <v>16</v>
      </c>
      <c r="H8" s="67" t="s">
        <v>18</v>
      </c>
      <c r="I8" s="67"/>
    </row>
    <row r="9" spans="1:251" ht="27" x14ac:dyDescent="0.25">
      <c r="A9" s="68" t="s">
        <v>19</v>
      </c>
      <c r="B9" s="69" t="s">
        <v>20</v>
      </c>
      <c r="C9" s="69" t="s">
        <v>13</v>
      </c>
      <c r="D9" s="69"/>
      <c r="E9" s="70" t="s">
        <v>22</v>
      </c>
      <c r="F9" s="70" t="s">
        <v>23</v>
      </c>
      <c r="G9" s="69" t="s">
        <v>21</v>
      </c>
      <c r="H9" s="71" t="s">
        <v>22</v>
      </c>
      <c r="I9" s="71" t="s">
        <v>23</v>
      </c>
    </row>
    <row r="10" spans="1:251" x14ac:dyDescent="0.25">
      <c r="A10" s="52"/>
      <c r="B10" s="52"/>
      <c r="C10" s="53"/>
      <c r="D10" s="54" t="s">
        <v>24</v>
      </c>
      <c r="E10" s="54"/>
      <c r="F10" s="54"/>
      <c r="G10" s="55"/>
      <c r="H10" s="58"/>
      <c r="I10" s="59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  <c r="BP10" s="60"/>
      <c r="BQ10" s="60"/>
      <c r="BR10" s="60"/>
      <c r="BS10" s="60"/>
      <c r="BT10" s="60"/>
      <c r="BU10" s="60"/>
      <c r="BV10" s="60"/>
      <c r="BW10" s="60"/>
      <c r="BX10" s="60"/>
      <c r="BY10" s="60"/>
      <c r="BZ10" s="60"/>
      <c r="CA10" s="60"/>
      <c r="CB10" s="60"/>
      <c r="CC10" s="60"/>
      <c r="CD10" s="60"/>
      <c r="CE10" s="60"/>
      <c r="CF10" s="60"/>
      <c r="CG10" s="60"/>
      <c r="CH10" s="60"/>
      <c r="CI10" s="60"/>
      <c r="CJ10" s="60"/>
      <c r="CK10" s="60"/>
      <c r="CL10" s="60"/>
      <c r="CM10" s="60"/>
      <c r="CN10" s="60"/>
      <c r="CO10" s="60"/>
      <c r="CP10" s="60"/>
      <c r="CQ10" s="60"/>
      <c r="CR10" s="60"/>
      <c r="CS10" s="60"/>
      <c r="CT10" s="60"/>
      <c r="CU10" s="60"/>
      <c r="CV10" s="60"/>
      <c r="CW10" s="60"/>
      <c r="CX10" s="60"/>
      <c r="CY10" s="60"/>
      <c r="CZ10" s="60"/>
      <c r="DA10" s="60"/>
      <c r="DB10" s="60"/>
      <c r="DC10" s="60"/>
      <c r="DD10" s="60"/>
      <c r="DE10" s="60"/>
      <c r="DF10" s="60"/>
      <c r="DG10" s="60"/>
      <c r="DH10" s="60"/>
      <c r="DI10" s="60"/>
      <c r="DJ10" s="60"/>
      <c r="DK10" s="60"/>
      <c r="DL10" s="60"/>
      <c r="DM10" s="60"/>
      <c r="DN10" s="60"/>
      <c r="DO10" s="60"/>
      <c r="DP10" s="60"/>
      <c r="DQ10" s="60"/>
      <c r="DR10" s="60"/>
      <c r="DS10" s="60"/>
      <c r="DT10" s="60"/>
      <c r="DU10" s="60"/>
      <c r="DV10" s="60"/>
      <c r="DW10" s="60"/>
      <c r="DX10" s="60"/>
      <c r="DY10" s="60"/>
      <c r="DZ10" s="60"/>
      <c r="EA10" s="60"/>
      <c r="EB10" s="60"/>
      <c r="EC10" s="60"/>
      <c r="ED10" s="60"/>
      <c r="EE10" s="60"/>
      <c r="EF10" s="60"/>
      <c r="EG10" s="60"/>
      <c r="EH10" s="60"/>
      <c r="EI10" s="60"/>
      <c r="EJ10" s="60"/>
      <c r="EK10" s="60"/>
      <c r="EL10" s="60"/>
      <c r="EM10" s="60"/>
      <c r="EN10" s="60"/>
      <c r="EO10" s="60"/>
      <c r="EP10" s="60"/>
      <c r="EQ10" s="60"/>
      <c r="ER10" s="60"/>
      <c r="ES10" s="60"/>
      <c r="ET10" s="60"/>
      <c r="EU10" s="60"/>
      <c r="EV10" s="60"/>
      <c r="EW10" s="60"/>
      <c r="EX10" s="60"/>
      <c r="EY10" s="60"/>
      <c r="EZ10" s="60"/>
      <c r="FA10" s="60"/>
      <c r="FB10" s="60"/>
      <c r="FC10" s="60"/>
      <c r="FD10" s="60"/>
      <c r="FE10" s="60"/>
      <c r="FF10" s="60"/>
      <c r="FG10" s="60"/>
      <c r="FH10" s="60"/>
      <c r="FI10" s="60"/>
      <c r="FJ10" s="60"/>
      <c r="FK10" s="60"/>
      <c r="FL10" s="60"/>
      <c r="FM10" s="60"/>
      <c r="FN10" s="60"/>
      <c r="FO10" s="60"/>
      <c r="FP10" s="60"/>
      <c r="FQ10" s="60"/>
      <c r="FR10" s="60"/>
      <c r="FS10" s="60"/>
      <c r="FT10" s="60"/>
      <c r="FU10" s="60"/>
      <c r="FV10" s="60"/>
      <c r="FW10" s="60"/>
      <c r="FX10" s="60"/>
      <c r="FY10" s="60"/>
      <c r="FZ10" s="60"/>
      <c r="GA10" s="60"/>
      <c r="GB10" s="60"/>
      <c r="GC10" s="60"/>
      <c r="GD10" s="60"/>
      <c r="GE10" s="60"/>
      <c r="GF10" s="60"/>
      <c r="GG10" s="60"/>
      <c r="GH10" s="60"/>
      <c r="GI10" s="60"/>
      <c r="GJ10" s="60"/>
      <c r="GK10" s="60"/>
      <c r="GL10" s="60"/>
      <c r="GM10" s="60"/>
      <c r="GN10" s="60"/>
      <c r="GO10" s="60"/>
      <c r="GP10" s="60"/>
      <c r="GQ10" s="60"/>
      <c r="GR10" s="60"/>
      <c r="GS10" s="60"/>
      <c r="GT10" s="60"/>
      <c r="GU10" s="60"/>
      <c r="GV10" s="60"/>
      <c r="GW10" s="60"/>
      <c r="GX10" s="60"/>
      <c r="GY10" s="60"/>
      <c r="GZ10" s="60"/>
      <c r="HA10" s="60"/>
      <c r="HB10" s="60"/>
      <c r="HC10" s="60"/>
      <c r="HD10" s="60"/>
      <c r="HE10" s="60"/>
      <c r="HF10" s="60"/>
      <c r="HG10" s="60"/>
      <c r="HH10" s="60"/>
      <c r="HI10" s="60"/>
      <c r="HJ10" s="60"/>
      <c r="HK10" s="60"/>
      <c r="HL10" s="60"/>
      <c r="HM10" s="60"/>
      <c r="HN10" s="60"/>
      <c r="HO10" s="60"/>
      <c r="HP10" s="60"/>
      <c r="HQ10" s="60"/>
      <c r="HR10" s="60"/>
      <c r="HS10" s="60"/>
      <c r="HT10" s="60"/>
      <c r="HU10" s="60"/>
      <c r="HV10" s="60"/>
      <c r="HW10" s="60"/>
      <c r="HX10" s="60"/>
      <c r="HY10" s="60"/>
      <c r="HZ10" s="60"/>
      <c r="IA10" s="60"/>
      <c r="IB10" s="60"/>
      <c r="IC10" s="60"/>
      <c r="ID10" s="60"/>
      <c r="IE10" s="60"/>
      <c r="IF10" s="60"/>
      <c r="IG10" s="60"/>
      <c r="IH10" s="60"/>
      <c r="II10" s="60"/>
      <c r="IJ10" s="60"/>
      <c r="IK10" s="60"/>
      <c r="IL10" s="60"/>
      <c r="IM10" s="60"/>
      <c r="IN10" s="60"/>
      <c r="IO10" s="60"/>
      <c r="IP10" s="60"/>
      <c r="IQ10" s="60"/>
    </row>
  </sheetData>
  <pageMargins left="0.196850393700787" right="0.196850393700787" top="0.59055118110236204" bottom="0.196850393700787" header="0.196850393700787" footer="0"/>
  <pageSetup paperSize="9" orientation="portrait" r:id="rId1"/>
  <headerFooter>
    <oddHeader>&amp;R&amp;P/&amp;N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SHN</vt:lpstr>
      <vt:lpstr>SHVND</vt:lpstr>
      <vt:lpstr>SHUSD</vt:lpstr>
      <vt:lpstr>Sheet4</vt:lpstr>
      <vt:lpstr>SHN!Print_Titles</vt:lpstr>
      <vt:lpstr>SHVND!Print_Titles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SAMURAI</dc:creator>
  <cp:keywords/>
  <dc:description/>
  <cp:lastModifiedBy>Admin</cp:lastModifiedBy>
  <dcterms:created xsi:type="dcterms:W3CDTF">2012-09-25T00:40:14Z</dcterms:created>
  <dcterms:modified xsi:type="dcterms:W3CDTF">2026-05-15T08:19:52Z</dcterms:modified>
  <cp:category/>
</cp:coreProperties>
</file>