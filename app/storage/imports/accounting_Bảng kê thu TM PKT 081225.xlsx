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KIỂM TRA THU CHI TIỀN MẶT\Tháng 12.2025\Ngày 8-12\"/>
    </mc:Choice>
  </mc:AlternateContent>
  <xr:revisionPtr revIDLastSave="0" documentId="8_{A8D4B2E5-829B-444D-8BC5-A67D4DAF7560}" xr6:coauthVersionLast="47" xr6:coauthVersionMax="47" xr10:uidLastSave="{00000000-0000-0000-0000-000000000000}"/>
  <bookViews>
    <workbookView xWindow="-120" yWindow="-120" windowWidth="29040" windowHeight="15840" xr2:uid="{81366690-C044-48FB-8CE8-F72B8634B7D7}"/>
  </bookViews>
  <sheets>
    <sheet name="8.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G54" i="1"/>
  <c r="G59" i="1" s="1"/>
  <c r="G48" i="1"/>
  <c r="E48" i="1"/>
  <c r="D48" i="1"/>
  <c r="C48" i="1"/>
  <c r="B48" i="1"/>
  <c r="H47" i="1"/>
  <c r="F47" i="1"/>
  <c r="F46" i="1"/>
  <c r="H46" i="1" s="1"/>
  <c r="F45" i="1"/>
  <c r="H45" i="1" s="1"/>
  <c r="F44" i="1"/>
  <c r="H44" i="1" s="1"/>
  <c r="F43" i="1"/>
  <c r="H43" i="1" s="1"/>
  <c r="F42" i="1"/>
  <c r="H42" i="1" s="1"/>
  <c r="F41" i="1"/>
  <c r="H41" i="1" s="1"/>
  <c r="F40" i="1"/>
  <c r="H40" i="1" s="1"/>
  <c r="F39" i="1"/>
  <c r="H39" i="1" s="1"/>
  <c r="F38" i="1"/>
  <c r="H38" i="1" s="1"/>
  <c r="F37" i="1"/>
  <c r="H37" i="1" s="1"/>
  <c r="F36" i="1"/>
  <c r="H36" i="1" s="1"/>
  <c r="F35" i="1"/>
  <c r="H35" i="1" s="1"/>
  <c r="F34" i="1"/>
  <c r="H34" i="1" s="1"/>
  <c r="F33" i="1"/>
  <c r="H33" i="1" s="1"/>
  <c r="F32" i="1"/>
  <c r="H32" i="1" s="1"/>
  <c r="F31" i="1"/>
  <c r="H31" i="1" s="1"/>
  <c r="F30" i="1"/>
  <c r="H30" i="1" s="1"/>
  <c r="F29" i="1"/>
  <c r="H29" i="1" s="1"/>
  <c r="F28" i="1"/>
  <c r="H28" i="1" s="1"/>
  <c r="F27" i="1"/>
  <c r="H27" i="1" s="1"/>
  <c r="F26" i="1"/>
  <c r="H26" i="1" s="1"/>
  <c r="F25" i="1"/>
  <c r="H25" i="1" s="1"/>
  <c r="F24" i="1"/>
  <c r="H24" i="1" s="1"/>
  <c r="F23" i="1"/>
  <c r="H23" i="1" s="1"/>
  <c r="F22" i="1"/>
  <c r="H22" i="1" s="1"/>
  <c r="F21" i="1"/>
  <c r="H21" i="1" s="1"/>
  <c r="F20" i="1"/>
  <c r="H20" i="1" s="1"/>
  <c r="F19" i="1"/>
  <c r="H19" i="1" s="1"/>
  <c r="F18" i="1"/>
  <c r="H18" i="1" s="1"/>
  <c r="F17" i="1"/>
  <c r="H17" i="1" s="1"/>
  <c r="F16" i="1"/>
  <c r="H16" i="1" s="1"/>
  <c r="F15" i="1"/>
  <c r="H15" i="1" s="1"/>
  <c r="F13" i="1"/>
  <c r="H13" i="1" s="1"/>
  <c r="F12" i="1"/>
  <c r="H12" i="1" s="1"/>
  <c r="F11" i="1"/>
  <c r="H11" i="1" s="1"/>
  <c r="F10" i="1"/>
  <c r="H10" i="1" s="1"/>
  <c r="F9" i="1"/>
  <c r="H9" i="1" s="1"/>
  <c r="F8" i="1"/>
  <c r="H8" i="1" s="1"/>
  <c r="F7" i="1"/>
  <c r="H7" i="1" s="1"/>
  <c r="F6" i="1"/>
  <c r="H6" i="1" s="1"/>
  <c r="F5" i="1"/>
  <c r="H5" i="1" s="1"/>
  <c r="F4" i="1"/>
  <c r="H4" i="1" s="1"/>
  <c r="H48" i="1" l="1"/>
  <c r="F48" i="1"/>
</calcChain>
</file>

<file path=xl/sharedStrings.xml><?xml version="1.0" encoding="utf-8"?>
<sst xmlns="http://schemas.openxmlformats.org/spreadsheetml/2006/main" count="68" uniqueCount="67">
  <si>
    <t>THEO DÕI THU TIỀN NGÀY 08/12/25</t>
  </si>
  <si>
    <t>Tên</t>
  </si>
  <si>
    <t>ML</t>
  </si>
  <si>
    <t>Chuyển khoản theo ML</t>
  </si>
  <si>
    <t>QR động</t>
  </si>
  <si>
    <t>Máy POS</t>
  </si>
  <si>
    <t>Chuyển khoản + QR động + Máy POS</t>
  </si>
  <si>
    <t>Thực thu tiền mặt</t>
  </si>
  <si>
    <t>+/-</t>
  </si>
  <si>
    <t>10204-Trần Hoài Dương</t>
  </si>
  <si>
    <t>10215-Nguyễn Thị Xuân Trúc</t>
  </si>
  <si>
    <t>10280-Hoàng Thị Kiều Oanh</t>
  </si>
  <si>
    <t>Sửa HSBA Lê Hữu Khải khoa CTCH giảm 66.000 - chưa hoàn tiền BN</t>
  </si>
  <si>
    <t>10300-Nguyễn Thị Ngọc Hậu</t>
  </si>
  <si>
    <t>107-Nguyễn Ngọc Nhi</t>
  </si>
  <si>
    <t>141-Trần Thị Cẩm Thao</t>
  </si>
  <si>
    <t>163-Thái Thị Huệ</t>
  </si>
  <si>
    <t>164-Trần Thị Hồng Phúc</t>
  </si>
  <si>
    <t>167-Nguyễn Thị Kim Tuyền</t>
  </si>
  <si>
    <t>175-Phạm Thị Cẩm Tiên</t>
  </si>
  <si>
    <t>Hoàn tiền 110.000 của BN Lê Minh Khang ngày 07/12</t>
  </si>
  <si>
    <t>Tạo lại phiếu tạm thu 4.000.000 của BN KPĂ H,ĐUIN. Do điều dưỡng tạo nhầm phiếu thu tạm ứng sang tên của BN Đoàn Phú Sang - tiền đã nộp ngày 07/12</t>
  </si>
  <si>
    <t>178-Phan Thị Bảo Hà</t>
  </si>
  <si>
    <t>233-Đặng Thị Huyền</t>
  </si>
  <si>
    <t>24-Phan Thị Huế</t>
  </si>
  <si>
    <t>252-Nguyễn Thị Thùy Trang</t>
  </si>
  <si>
    <t>292-Trần Thị Phương Thảo</t>
  </si>
  <si>
    <t>295-Nguyễn Thị Nhung</t>
  </si>
  <si>
    <t>298-Vũ Thị Bông</t>
  </si>
  <si>
    <t>300-Trần Thị Thạch Thảo</t>
  </si>
  <si>
    <t>303-Huỳnh Thị Hạnh</t>
  </si>
  <si>
    <t>305-Trần Ngọc Trung</t>
  </si>
  <si>
    <t>360-Dương Thị Hương</t>
  </si>
  <si>
    <t>374-Trương Thị Quỳnh Anh</t>
  </si>
  <si>
    <t>412-Cầm Thị Dung</t>
  </si>
  <si>
    <t>463-Nguyễn Minh Hoàng</t>
  </si>
  <si>
    <t>482-Phạm Thị Thu Hương</t>
  </si>
  <si>
    <t>51-Nguyễn Thị Thảo</t>
  </si>
  <si>
    <t>56-Đinh Thị Thùy Giang</t>
  </si>
  <si>
    <t>620-Vũ Thị Hải Yến</t>
  </si>
  <si>
    <t>626-Nguyễn Thị Thu Hương</t>
  </si>
  <si>
    <t>Điều dưỡng nộp ngày 15/12</t>
  </si>
  <si>
    <t>636-Nguyễn Thị Quệ</t>
  </si>
  <si>
    <t>641-Nguyễn Hải Anh</t>
  </si>
  <si>
    <t>648-Lê Thị Chinh</t>
  </si>
  <si>
    <t>696-Nguyễn Thị Kim Thơ</t>
  </si>
  <si>
    <t>702-Huỳnh Thị Tường Vy</t>
  </si>
  <si>
    <t>Điều dưỡng nộp ngày 09/12, số tiền: 83.663.000</t>
  </si>
  <si>
    <t>707-Hoàng Thị Thanh Huyền</t>
  </si>
  <si>
    <t>710-Hà Thúy Viên</t>
  </si>
  <si>
    <t>723-Nguyễn Thị Thu Trang</t>
  </si>
  <si>
    <t>74-Đoàn Thị Hiếu</t>
  </si>
  <si>
    <t>782-Nông Thị Thảo</t>
  </si>
  <si>
    <t>92-Nguyễn Thị Thu Thủy</t>
  </si>
  <si>
    <t>Lưu Trịnh Xuân Hải</t>
  </si>
  <si>
    <t>BN Nguyễn Văn Thắng ngày 31/10</t>
  </si>
  <si>
    <t>BN Nguyễn Văn Thắng ngày 28/11</t>
  </si>
  <si>
    <t>Tổng</t>
  </si>
  <si>
    <t>Tiền thu căntin</t>
  </si>
  <si>
    <t>Tiền thu tiêm chủng</t>
  </si>
  <si>
    <t>Tiền thu da liễu</t>
  </si>
  <si>
    <t>Tiền thu nhà xe</t>
  </si>
  <si>
    <t>Tiền thu siêu thị</t>
  </si>
  <si>
    <t>Tiền thu nhà thuốc</t>
  </si>
  <si>
    <t>Tiền thu HSBA</t>
  </si>
  <si>
    <t>Tiền thu ứng nhân viên</t>
  </si>
  <si>
    <t>TỔNG THU 08/12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</si>
</sst>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7" x14ac:knownFonts="1">
    <font>
      <sz val="11.7"/>
      <color theme="1"/>
      <name val="Times New Roman"/>
      <family val="2"/>
      <charset val="163"/>
    </font>
    <font>
      <sz val="11.7"/>
      <color theme="1"/>
      <name val="Times New Roman"/>
      <family val="2"/>
      <charset val="16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/>
    <xf numFmtId="165" fontId="3" fillId="0" borderId="0" xfId="1" applyNumberFormat="1" applyFont="1" applyFill="1"/>
    <xf numFmtId="166" fontId="3" fillId="0" borderId="0" xfId="1" applyNumberFormat="1" applyFont="1" applyFill="1"/>
    <xf numFmtId="166" fontId="3" fillId="0" borderId="0" xfId="1" applyNumberFormat="1" applyFont="1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166" fontId="4" fillId="0" borderId="1" xfId="1" quotePrefix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5" fontId="5" fillId="0" borderId="1" xfId="1" applyNumberFormat="1" applyFont="1" applyFill="1" applyBorder="1" applyAlignment="1">
      <alignment vertical="center"/>
    </xf>
    <xf numFmtId="166" fontId="5" fillId="0" borderId="1" xfId="1" applyNumberFormat="1" applyFont="1" applyFill="1" applyBorder="1" applyAlignment="1">
      <alignment vertical="center" wrapText="1"/>
    </xf>
    <xf numFmtId="165" fontId="5" fillId="0" borderId="1" xfId="1" applyNumberFormat="1" applyFont="1" applyFill="1" applyBorder="1" applyAlignment="1">
      <alignment vertical="center" wrapText="1"/>
    </xf>
    <xf numFmtId="166" fontId="5" fillId="0" borderId="1" xfId="1" applyNumberFormat="1" applyFont="1" applyFill="1" applyBorder="1" applyAlignment="1">
      <alignment vertical="center"/>
    </xf>
    <xf numFmtId="166" fontId="5" fillId="0" borderId="1" xfId="1" quotePrefix="1" applyNumberFormat="1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65" fontId="5" fillId="0" borderId="3" xfId="1" applyNumberFormat="1" applyFont="1" applyFill="1" applyBorder="1" applyAlignment="1">
      <alignment horizontal="center" vertical="center" wrapText="1"/>
    </xf>
    <xf numFmtId="166" fontId="5" fillId="0" borderId="3" xfId="1" applyNumberFormat="1" applyFont="1" applyFill="1" applyBorder="1" applyAlignment="1">
      <alignment horizontal="center" vertical="center" wrapText="1"/>
    </xf>
    <xf numFmtId="166" fontId="5" fillId="0" borderId="3" xfId="1" applyNumberFormat="1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vertical="center"/>
    </xf>
    <xf numFmtId="0" fontId="4" fillId="0" borderId="1" xfId="0" applyFont="1" applyBorder="1"/>
    <xf numFmtId="165" fontId="4" fillId="0" borderId="1" xfId="1" applyNumberFormat="1" applyFont="1" applyFill="1" applyBorder="1"/>
    <xf numFmtId="166" fontId="4" fillId="0" borderId="1" xfId="0" applyNumberFormat="1" applyFont="1" applyBorder="1"/>
    <xf numFmtId="0" fontId="5" fillId="0" borderId="0" xfId="0" applyFont="1" applyAlignment="1">
      <alignment horizontal="left" vertical="center"/>
    </xf>
    <xf numFmtId="165" fontId="5" fillId="0" borderId="0" xfId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6A45-1DC4-4406-801E-B063EC18F24E}">
  <sheetPr>
    <pageSetUpPr fitToPage="1"/>
  </sheetPr>
  <dimension ref="A1:I59"/>
  <sheetViews>
    <sheetView tabSelected="1" workbookViewId="0">
      <selection activeCell="G18" sqref="G18"/>
    </sheetView>
  </sheetViews>
  <sheetFormatPr defaultRowHeight="15.75" x14ac:dyDescent="0.25"/>
  <cols>
    <col min="1" max="1" width="28.5" style="2" customWidth="1"/>
    <col min="2" max="2" width="15.125" style="2" customWidth="1"/>
    <col min="3" max="5" width="15.125" style="2" hidden="1" customWidth="1"/>
    <col min="6" max="8" width="15.125" style="2" customWidth="1"/>
    <col min="9" max="9" width="36.375" style="2" customWidth="1"/>
    <col min="10" max="16384" width="9" style="2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3"/>
      <c r="B2" s="4"/>
      <c r="C2" s="5"/>
      <c r="D2" s="5"/>
      <c r="E2" s="5"/>
      <c r="F2" s="5"/>
      <c r="G2" s="5"/>
      <c r="H2" s="5"/>
      <c r="I2" s="6"/>
    </row>
    <row r="3" spans="1:9" ht="49.5" x14ac:dyDescent="0.25">
      <c r="A3" s="7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10" t="s">
        <v>8</v>
      </c>
      <c r="I3" s="9"/>
    </row>
    <row r="4" spans="1:9" ht="16.5" x14ac:dyDescent="0.25">
      <c r="A4" s="11" t="s">
        <v>9</v>
      </c>
      <c r="B4" s="12">
        <v>2800000</v>
      </c>
      <c r="C4" s="13">
        <v>0</v>
      </c>
      <c r="D4" s="13">
        <v>150000</v>
      </c>
      <c r="E4" s="14">
        <v>0</v>
      </c>
      <c r="F4" s="13">
        <f>+C4+D4+E4</f>
        <v>150000</v>
      </c>
      <c r="G4" s="15">
        <v>2650000</v>
      </c>
      <c r="H4" s="15">
        <f>+B4-F4-G4</f>
        <v>0</v>
      </c>
      <c r="I4" s="16"/>
    </row>
    <row r="5" spans="1:9" ht="16.5" x14ac:dyDescent="0.25">
      <c r="A5" s="11" t="s">
        <v>10</v>
      </c>
      <c r="B5" s="14">
        <v>15959370.800000001</v>
      </c>
      <c r="C5" s="13">
        <v>0</v>
      </c>
      <c r="D5" s="13">
        <v>2057457.44</v>
      </c>
      <c r="E5" s="14">
        <v>0</v>
      </c>
      <c r="F5" s="13">
        <f t="shared" ref="F5:F47" si="0">+C5+D5+E5</f>
        <v>2057457.44</v>
      </c>
      <c r="G5" s="15">
        <v>13902000</v>
      </c>
      <c r="H5" s="15">
        <f t="shared" ref="H5:H47" si="1">+B5-F5-G5</f>
        <v>-86.639999998733401</v>
      </c>
      <c r="I5" s="16"/>
    </row>
    <row r="6" spans="1:9" ht="33" x14ac:dyDescent="0.25">
      <c r="A6" s="11" t="s">
        <v>11</v>
      </c>
      <c r="B6" s="14">
        <v>59934000</v>
      </c>
      <c r="C6" s="13">
        <v>0</v>
      </c>
      <c r="D6" s="13">
        <v>30000000</v>
      </c>
      <c r="E6" s="14">
        <v>0</v>
      </c>
      <c r="F6" s="13">
        <f t="shared" si="0"/>
        <v>30000000</v>
      </c>
      <c r="G6" s="15">
        <v>30000000</v>
      </c>
      <c r="H6" s="15">
        <f t="shared" si="1"/>
        <v>-66000</v>
      </c>
      <c r="I6" s="13" t="s">
        <v>12</v>
      </c>
    </row>
    <row r="7" spans="1:9" ht="16.5" x14ac:dyDescent="0.25">
      <c r="A7" s="17" t="s">
        <v>13</v>
      </c>
      <c r="B7" s="18">
        <v>41931976.539999999</v>
      </c>
      <c r="C7" s="19">
        <v>466364.8</v>
      </c>
      <c r="D7" s="19">
        <v>3789329.48</v>
      </c>
      <c r="E7" s="18">
        <v>0</v>
      </c>
      <c r="F7" s="13">
        <f t="shared" si="0"/>
        <v>4255694.28</v>
      </c>
      <c r="G7" s="20">
        <v>37676000</v>
      </c>
      <c r="H7" s="15">
        <f t="shared" si="1"/>
        <v>282.25999999791384</v>
      </c>
      <c r="I7" s="13"/>
    </row>
    <row r="8" spans="1:9" ht="16.5" x14ac:dyDescent="0.25">
      <c r="A8" s="11" t="s">
        <v>14</v>
      </c>
      <c r="B8" s="14">
        <v>23471627.93</v>
      </c>
      <c r="C8" s="13">
        <v>271441.89</v>
      </c>
      <c r="D8" s="13">
        <v>3070437.63</v>
      </c>
      <c r="E8" s="14">
        <v>0</v>
      </c>
      <c r="F8" s="13">
        <f t="shared" si="0"/>
        <v>3341879.52</v>
      </c>
      <c r="G8" s="15">
        <v>20130000</v>
      </c>
      <c r="H8" s="15">
        <f t="shared" si="1"/>
        <v>-251.58999999985099</v>
      </c>
      <c r="I8" s="13"/>
    </row>
    <row r="9" spans="1:9" ht="16.5" x14ac:dyDescent="0.25">
      <c r="A9" s="11" t="s">
        <v>15</v>
      </c>
      <c r="B9" s="14">
        <v>24559500.77</v>
      </c>
      <c r="C9" s="13">
        <v>0</v>
      </c>
      <c r="D9" s="13">
        <v>10608604.67</v>
      </c>
      <c r="E9" s="14">
        <v>0</v>
      </c>
      <c r="F9" s="13">
        <f t="shared" si="0"/>
        <v>10608604.67</v>
      </c>
      <c r="G9" s="15">
        <v>13951000</v>
      </c>
      <c r="H9" s="15">
        <f t="shared" si="1"/>
        <v>-103.90000000037253</v>
      </c>
      <c r="I9" s="16"/>
    </row>
    <row r="10" spans="1:9" ht="16.5" x14ac:dyDescent="0.25">
      <c r="A10" s="11" t="s">
        <v>16</v>
      </c>
      <c r="B10" s="14">
        <v>1800000</v>
      </c>
      <c r="C10" s="13">
        <v>0</v>
      </c>
      <c r="D10" s="13">
        <v>600000</v>
      </c>
      <c r="E10" s="14">
        <v>0</v>
      </c>
      <c r="F10" s="13">
        <f t="shared" si="0"/>
        <v>600000</v>
      </c>
      <c r="G10" s="15">
        <v>1200000</v>
      </c>
      <c r="H10" s="15">
        <f t="shared" si="1"/>
        <v>0</v>
      </c>
      <c r="I10" s="13"/>
    </row>
    <row r="11" spans="1:9" ht="16.5" x14ac:dyDescent="0.25">
      <c r="A11" s="11" t="s">
        <v>17</v>
      </c>
      <c r="B11" s="14">
        <v>9444391.5899999999</v>
      </c>
      <c r="C11" s="13">
        <v>0</v>
      </c>
      <c r="D11" s="13">
        <v>2855000</v>
      </c>
      <c r="E11" s="14">
        <v>0</v>
      </c>
      <c r="F11" s="13">
        <f t="shared" si="0"/>
        <v>2855000</v>
      </c>
      <c r="G11" s="15">
        <v>6589000</v>
      </c>
      <c r="H11" s="15">
        <f t="shared" si="1"/>
        <v>391.58999999985099</v>
      </c>
      <c r="I11" s="13"/>
    </row>
    <row r="12" spans="1:9" ht="16.5" x14ac:dyDescent="0.25">
      <c r="A12" s="17" t="s">
        <v>18</v>
      </c>
      <c r="B12" s="18">
        <v>7078068.3200000003</v>
      </c>
      <c r="C12" s="19">
        <v>200000</v>
      </c>
      <c r="D12" s="19">
        <v>1000000</v>
      </c>
      <c r="E12" s="18">
        <v>0</v>
      </c>
      <c r="F12" s="13">
        <f t="shared" si="0"/>
        <v>1200000</v>
      </c>
      <c r="G12" s="20">
        <v>5878000</v>
      </c>
      <c r="H12" s="15">
        <f t="shared" si="1"/>
        <v>68.320000000298023</v>
      </c>
      <c r="I12" s="13"/>
    </row>
    <row r="13" spans="1:9" ht="33" x14ac:dyDescent="0.25">
      <c r="A13" s="21" t="s">
        <v>19</v>
      </c>
      <c r="B13" s="22">
        <v>21919582.460000001</v>
      </c>
      <c r="C13" s="13">
        <v>0</v>
      </c>
      <c r="D13" s="13">
        <v>7397026.0899999999</v>
      </c>
      <c r="E13" s="14">
        <v>0</v>
      </c>
      <c r="F13" s="23">
        <f t="shared" si="0"/>
        <v>7397026.0899999999</v>
      </c>
      <c r="G13" s="24">
        <v>10412000</v>
      </c>
      <c r="H13" s="24">
        <f t="shared" si="1"/>
        <v>4110556.370000001</v>
      </c>
      <c r="I13" s="13" t="s">
        <v>20</v>
      </c>
    </row>
    <row r="14" spans="1:9" ht="66" x14ac:dyDescent="0.25">
      <c r="A14" s="25"/>
      <c r="B14" s="26"/>
      <c r="C14" s="13"/>
      <c r="D14" s="13"/>
      <c r="E14" s="14"/>
      <c r="F14" s="27"/>
      <c r="G14" s="28"/>
      <c r="H14" s="28"/>
      <c r="I14" s="13" t="s">
        <v>21</v>
      </c>
    </row>
    <row r="15" spans="1:9" ht="16.5" x14ac:dyDescent="0.25">
      <c r="A15" s="11" t="s">
        <v>22</v>
      </c>
      <c r="B15" s="14">
        <v>4203657.2</v>
      </c>
      <c r="C15" s="13">
        <v>0</v>
      </c>
      <c r="D15" s="13">
        <v>346541.9</v>
      </c>
      <c r="E15" s="14">
        <v>0</v>
      </c>
      <c r="F15" s="13">
        <f t="shared" si="0"/>
        <v>346541.9</v>
      </c>
      <c r="G15" s="15">
        <v>3857000</v>
      </c>
      <c r="H15" s="15">
        <f t="shared" si="1"/>
        <v>115.3000000002794</v>
      </c>
      <c r="I15" s="16"/>
    </row>
    <row r="16" spans="1:9" ht="16.5" x14ac:dyDescent="0.25">
      <c r="A16" s="11" t="s">
        <v>23</v>
      </c>
      <c r="B16" s="14">
        <v>41156047.960000001</v>
      </c>
      <c r="C16" s="13">
        <v>5916320.6799999997</v>
      </c>
      <c r="D16" s="13">
        <v>17000000</v>
      </c>
      <c r="E16" s="14">
        <v>0</v>
      </c>
      <c r="F16" s="13">
        <f t="shared" si="0"/>
        <v>22916320.68</v>
      </c>
      <c r="G16" s="15">
        <v>18240000</v>
      </c>
      <c r="H16" s="15">
        <f t="shared" si="1"/>
        <v>-272.71999999880791</v>
      </c>
      <c r="I16" s="16"/>
    </row>
    <row r="17" spans="1:9" ht="16.5" x14ac:dyDescent="0.25">
      <c r="A17" s="11" t="s">
        <v>24</v>
      </c>
      <c r="B17" s="14">
        <v>6444965.6200000001</v>
      </c>
      <c r="C17" s="13">
        <v>0</v>
      </c>
      <c r="D17" s="13">
        <v>1495012.9</v>
      </c>
      <c r="E17" s="14">
        <v>0</v>
      </c>
      <c r="F17" s="13">
        <f t="shared" si="0"/>
        <v>1495012.9</v>
      </c>
      <c r="G17" s="15">
        <v>4950000</v>
      </c>
      <c r="H17" s="15">
        <f t="shared" si="1"/>
        <v>-47.279999999329448</v>
      </c>
      <c r="I17" s="16"/>
    </row>
    <row r="18" spans="1:9" ht="16.5" x14ac:dyDescent="0.25">
      <c r="A18" s="11" t="s">
        <v>25</v>
      </c>
      <c r="B18" s="14">
        <v>614880.43999999994</v>
      </c>
      <c r="C18" s="13">
        <v>0</v>
      </c>
      <c r="D18" s="13">
        <v>122926.93</v>
      </c>
      <c r="E18" s="14">
        <v>0</v>
      </c>
      <c r="F18" s="13">
        <f t="shared" si="0"/>
        <v>122926.93</v>
      </c>
      <c r="G18" s="15">
        <v>492000</v>
      </c>
      <c r="H18" s="15">
        <f t="shared" si="1"/>
        <v>-46.490000000048894</v>
      </c>
      <c r="I18" s="13"/>
    </row>
    <row r="19" spans="1:9" ht="16.5" x14ac:dyDescent="0.25">
      <c r="A19" s="11" t="s">
        <v>26</v>
      </c>
      <c r="B19" s="14">
        <v>4025458.5</v>
      </c>
      <c r="C19" s="13">
        <v>685000</v>
      </c>
      <c r="D19" s="13">
        <v>256891</v>
      </c>
      <c r="E19" s="14">
        <v>0</v>
      </c>
      <c r="F19" s="13">
        <f t="shared" si="0"/>
        <v>941891</v>
      </c>
      <c r="G19" s="15">
        <v>3084000</v>
      </c>
      <c r="H19" s="15">
        <f t="shared" si="1"/>
        <v>-432.5</v>
      </c>
      <c r="I19" s="16"/>
    </row>
    <row r="20" spans="1:9" ht="16.5" x14ac:dyDescent="0.25">
      <c r="A20" s="11" t="s">
        <v>27</v>
      </c>
      <c r="B20" s="14">
        <v>11718590.42</v>
      </c>
      <c r="C20" s="13">
        <v>0</v>
      </c>
      <c r="D20" s="13">
        <v>3812361.77</v>
      </c>
      <c r="E20" s="14">
        <v>0</v>
      </c>
      <c r="F20" s="13">
        <f t="shared" si="0"/>
        <v>3812361.77</v>
      </c>
      <c r="G20" s="15">
        <v>7906000</v>
      </c>
      <c r="H20" s="15">
        <f t="shared" si="1"/>
        <v>228.65000000037253</v>
      </c>
      <c r="I20" s="16"/>
    </row>
    <row r="21" spans="1:9" ht="16.5" x14ac:dyDescent="0.25">
      <c r="A21" s="11" t="s">
        <v>28</v>
      </c>
      <c r="B21" s="14">
        <v>12350272.93</v>
      </c>
      <c r="C21" s="13">
        <v>0</v>
      </c>
      <c r="D21" s="13">
        <v>5489741.4100000001</v>
      </c>
      <c r="E21" s="14">
        <v>0</v>
      </c>
      <c r="F21" s="13">
        <f t="shared" si="0"/>
        <v>5489741.4100000001</v>
      </c>
      <c r="G21" s="15">
        <v>6861000</v>
      </c>
      <c r="H21" s="15">
        <f t="shared" si="1"/>
        <v>-468.48000000044703</v>
      </c>
      <c r="I21" s="16"/>
    </row>
    <row r="22" spans="1:9" ht="16.5" x14ac:dyDescent="0.25">
      <c r="A22" s="11" t="s">
        <v>29</v>
      </c>
      <c r="B22" s="14">
        <v>37558725.07</v>
      </c>
      <c r="C22" s="13">
        <v>0</v>
      </c>
      <c r="D22" s="13">
        <v>24736647.649999999</v>
      </c>
      <c r="E22" s="14">
        <v>0</v>
      </c>
      <c r="F22" s="13">
        <f t="shared" si="0"/>
        <v>24736647.649999999</v>
      </c>
      <c r="G22" s="15">
        <v>12822000</v>
      </c>
      <c r="H22" s="15">
        <f t="shared" si="1"/>
        <v>77.420000001788139</v>
      </c>
      <c r="I22" s="13"/>
    </row>
    <row r="23" spans="1:9" ht="16.5" x14ac:dyDescent="0.25">
      <c r="A23" s="17" t="s">
        <v>30</v>
      </c>
      <c r="B23" s="18">
        <v>25073768.460000001</v>
      </c>
      <c r="C23" s="19">
        <v>0</v>
      </c>
      <c r="D23" s="19">
        <v>13740540</v>
      </c>
      <c r="E23" s="18">
        <v>0</v>
      </c>
      <c r="F23" s="13">
        <f t="shared" si="0"/>
        <v>13740540</v>
      </c>
      <c r="G23" s="20">
        <v>11333000</v>
      </c>
      <c r="H23" s="15">
        <f t="shared" si="1"/>
        <v>228.46000000089407</v>
      </c>
      <c r="I23" s="13"/>
    </row>
    <row r="24" spans="1:9" ht="16.5" hidden="1" x14ac:dyDescent="0.25">
      <c r="A24" s="11" t="s">
        <v>31</v>
      </c>
      <c r="B24" s="14">
        <v>0</v>
      </c>
      <c r="C24" s="13">
        <v>0</v>
      </c>
      <c r="D24" s="13">
        <v>0</v>
      </c>
      <c r="E24" s="14">
        <v>0</v>
      </c>
      <c r="F24" s="13">
        <f t="shared" si="0"/>
        <v>0</v>
      </c>
      <c r="G24" s="15"/>
      <c r="H24" s="15">
        <f t="shared" si="1"/>
        <v>0</v>
      </c>
      <c r="I24" s="13"/>
    </row>
    <row r="25" spans="1:9" ht="16.5" x14ac:dyDescent="0.25">
      <c r="A25" s="11" t="s">
        <v>32</v>
      </c>
      <c r="B25" s="14">
        <v>9611144.2400000002</v>
      </c>
      <c r="C25" s="13">
        <v>0</v>
      </c>
      <c r="D25" s="13">
        <v>2822495.12</v>
      </c>
      <c r="E25" s="14">
        <v>0</v>
      </c>
      <c r="F25" s="13">
        <f t="shared" si="0"/>
        <v>2822495.12</v>
      </c>
      <c r="G25" s="15">
        <v>6789000</v>
      </c>
      <c r="H25" s="15">
        <f t="shared" si="1"/>
        <v>-350.87999999988824</v>
      </c>
      <c r="I25" s="16"/>
    </row>
    <row r="26" spans="1:9" ht="16.5" x14ac:dyDescent="0.25">
      <c r="A26" s="11" t="s">
        <v>33</v>
      </c>
      <c r="B26" s="14">
        <v>300000</v>
      </c>
      <c r="C26" s="13">
        <v>0</v>
      </c>
      <c r="D26" s="13">
        <v>300000</v>
      </c>
      <c r="E26" s="14">
        <v>0</v>
      </c>
      <c r="F26" s="13">
        <f t="shared" si="0"/>
        <v>300000</v>
      </c>
      <c r="G26" s="15"/>
      <c r="H26" s="15">
        <f t="shared" si="1"/>
        <v>0</v>
      </c>
      <c r="I26" s="13"/>
    </row>
    <row r="27" spans="1:9" ht="16.5" x14ac:dyDescent="0.25">
      <c r="A27" s="17" t="s">
        <v>34</v>
      </c>
      <c r="B27" s="18">
        <v>60757128.039999999</v>
      </c>
      <c r="C27" s="19">
        <v>0</v>
      </c>
      <c r="D27" s="19">
        <v>31109452.449999999</v>
      </c>
      <c r="E27" s="18">
        <v>0</v>
      </c>
      <c r="F27" s="13">
        <f t="shared" si="0"/>
        <v>31109452.449999999</v>
      </c>
      <c r="G27" s="20">
        <v>29647000</v>
      </c>
      <c r="H27" s="15">
        <f t="shared" si="1"/>
        <v>675.58999999985099</v>
      </c>
      <c r="I27" s="13"/>
    </row>
    <row r="28" spans="1:9" ht="16.5" x14ac:dyDescent="0.25">
      <c r="A28" s="11" t="s">
        <v>35</v>
      </c>
      <c r="B28" s="14">
        <v>2004000</v>
      </c>
      <c r="C28" s="13">
        <v>680000</v>
      </c>
      <c r="D28" s="13">
        <v>0</v>
      </c>
      <c r="E28" s="14">
        <v>0</v>
      </c>
      <c r="F28" s="13">
        <f t="shared" si="0"/>
        <v>680000</v>
      </c>
      <c r="G28" s="15">
        <v>1324000</v>
      </c>
      <c r="H28" s="15">
        <f t="shared" si="1"/>
        <v>0</v>
      </c>
      <c r="I28" s="13"/>
    </row>
    <row r="29" spans="1:9" ht="16.5" x14ac:dyDescent="0.25">
      <c r="A29" s="11" t="s">
        <v>36</v>
      </c>
      <c r="B29" s="14">
        <v>26780792.82</v>
      </c>
      <c r="C29" s="13">
        <v>0</v>
      </c>
      <c r="D29" s="13">
        <v>4578559.5</v>
      </c>
      <c r="E29" s="14">
        <v>0</v>
      </c>
      <c r="F29" s="13">
        <f t="shared" si="0"/>
        <v>4578559.5</v>
      </c>
      <c r="G29" s="15">
        <v>22202000</v>
      </c>
      <c r="H29" s="15">
        <f t="shared" si="1"/>
        <v>233.32000000029802</v>
      </c>
      <c r="I29" s="16"/>
    </row>
    <row r="30" spans="1:9" ht="16.5" x14ac:dyDescent="0.25">
      <c r="A30" s="11" t="s">
        <v>37</v>
      </c>
      <c r="B30" s="14">
        <v>64934825.689999998</v>
      </c>
      <c r="C30" s="13">
        <v>0</v>
      </c>
      <c r="D30" s="13">
        <v>59796686.57</v>
      </c>
      <c r="E30" s="14">
        <v>0</v>
      </c>
      <c r="F30" s="13">
        <f t="shared" si="0"/>
        <v>59796686.57</v>
      </c>
      <c r="G30" s="15">
        <v>5138000</v>
      </c>
      <c r="H30" s="15">
        <f t="shared" si="1"/>
        <v>139.11999999731779</v>
      </c>
      <c r="I30" s="13"/>
    </row>
    <row r="31" spans="1:9" ht="16.5" x14ac:dyDescent="0.25">
      <c r="A31" s="11" t="s">
        <v>38</v>
      </c>
      <c r="B31" s="14">
        <v>58284493.420000002</v>
      </c>
      <c r="C31" s="13">
        <v>0</v>
      </c>
      <c r="D31" s="13">
        <v>25150772.879999999</v>
      </c>
      <c r="E31" s="14">
        <v>0</v>
      </c>
      <c r="F31" s="13">
        <f t="shared" si="0"/>
        <v>25150772.879999999</v>
      </c>
      <c r="G31" s="15">
        <v>33134000</v>
      </c>
      <c r="H31" s="15">
        <f t="shared" si="1"/>
        <v>-279.45999999716878</v>
      </c>
      <c r="I31" s="13"/>
    </row>
    <row r="32" spans="1:9" ht="16.5" x14ac:dyDescent="0.25">
      <c r="A32" s="17" t="s">
        <v>39</v>
      </c>
      <c r="B32" s="18">
        <v>30255849.859999999</v>
      </c>
      <c r="C32" s="19">
        <v>4098153.13</v>
      </c>
      <c r="D32" s="19">
        <v>23000000</v>
      </c>
      <c r="E32" s="18">
        <v>0</v>
      </c>
      <c r="F32" s="13">
        <f t="shared" si="0"/>
        <v>27098153.129999999</v>
      </c>
      <c r="G32" s="20">
        <v>3157000</v>
      </c>
      <c r="H32" s="15">
        <f t="shared" si="1"/>
        <v>696.73000000044703</v>
      </c>
      <c r="I32" s="13"/>
    </row>
    <row r="33" spans="1:9" ht="16.5" x14ac:dyDescent="0.25">
      <c r="A33" s="11" t="s">
        <v>40</v>
      </c>
      <c r="B33" s="14">
        <v>24000000</v>
      </c>
      <c r="C33" s="13">
        <v>0</v>
      </c>
      <c r="D33" s="13">
        <v>23000000</v>
      </c>
      <c r="E33" s="14">
        <v>0</v>
      </c>
      <c r="F33" s="13">
        <f t="shared" si="0"/>
        <v>23000000</v>
      </c>
      <c r="G33" s="15"/>
      <c r="H33" s="15">
        <f t="shared" si="1"/>
        <v>1000000</v>
      </c>
      <c r="I33" s="13" t="s">
        <v>41</v>
      </c>
    </row>
    <row r="34" spans="1:9" ht="16.5" x14ac:dyDescent="0.25">
      <c r="A34" s="11" t="s">
        <v>42</v>
      </c>
      <c r="B34" s="14">
        <v>400000</v>
      </c>
      <c r="C34" s="13">
        <v>400000</v>
      </c>
      <c r="D34" s="13">
        <v>0</v>
      </c>
      <c r="E34" s="14">
        <v>0</v>
      </c>
      <c r="F34" s="13">
        <f t="shared" si="0"/>
        <v>400000</v>
      </c>
      <c r="G34" s="15"/>
      <c r="H34" s="15">
        <f t="shared" si="1"/>
        <v>0</v>
      </c>
      <c r="I34" s="13"/>
    </row>
    <row r="35" spans="1:9" ht="16.5" x14ac:dyDescent="0.25">
      <c r="A35" s="17" t="s">
        <v>43</v>
      </c>
      <c r="B35" s="18">
        <v>32038679.010000002</v>
      </c>
      <c r="C35" s="19">
        <v>216240.04</v>
      </c>
      <c r="D35" s="19">
        <v>7095995.8899999997</v>
      </c>
      <c r="E35" s="18">
        <v>0</v>
      </c>
      <c r="F35" s="13">
        <f t="shared" si="0"/>
        <v>7312235.9299999997</v>
      </c>
      <c r="G35" s="20">
        <v>24725000</v>
      </c>
      <c r="H35" s="15">
        <f t="shared" si="1"/>
        <v>1443.0800000019372</v>
      </c>
      <c r="I35" s="13"/>
    </row>
    <row r="36" spans="1:9" ht="16.5" x14ac:dyDescent="0.25">
      <c r="A36" s="11" t="s">
        <v>44</v>
      </c>
      <c r="B36" s="14">
        <v>16758744.52</v>
      </c>
      <c r="C36" s="13">
        <v>25692.65</v>
      </c>
      <c r="D36" s="13">
        <v>7213390.8600000003</v>
      </c>
      <c r="E36" s="14">
        <v>0</v>
      </c>
      <c r="F36" s="13">
        <f t="shared" si="0"/>
        <v>7239083.5100000007</v>
      </c>
      <c r="G36" s="15">
        <v>9519000</v>
      </c>
      <c r="H36" s="15">
        <f t="shared" si="1"/>
        <v>661.00999999791384</v>
      </c>
      <c r="I36" s="13"/>
    </row>
    <row r="37" spans="1:9" ht="16.5" x14ac:dyDescent="0.25">
      <c r="A37" s="11" t="s">
        <v>45</v>
      </c>
      <c r="B37" s="14">
        <v>33129425.600000001</v>
      </c>
      <c r="C37" s="13">
        <v>0</v>
      </c>
      <c r="D37" s="13">
        <v>2700909.48</v>
      </c>
      <c r="E37" s="14">
        <v>0</v>
      </c>
      <c r="F37" s="13">
        <f t="shared" si="0"/>
        <v>2700909.48</v>
      </c>
      <c r="G37" s="29">
        <v>30429000</v>
      </c>
      <c r="H37" s="15">
        <f t="shared" si="1"/>
        <v>-483.87999999895692</v>
      </c>
      <c r="I37" s="16"/>
    </row>
    <row r="38" spans="1:9" ht="33" x14ac:dyDescent="0.25">
      <c r="A38" s="11" t="s">
        <v>46</v>
      </c>
      <c r="B38" s="14">
        <v>106395764.20999999</v>
      </c>
      <c r="C38" s="13">
        <v>0</v>
      </c>
      <c r="D38" s="13">
        <v>22732496.059999999</v>
      </c>
      <c r="E38" s="14">
        <v>0</v>
      </c>
      <c r="F38" s="13">
        <f t="shared" si="0"/>
        <v>22732496.059999999</v>
      </c>
      <c r="G38" s="15"/>
      <c r="H38" s="15">
        <f t="shared" si="1"/>
        <v>83663268.149999991</v>
      </c>
      <c r="I38" s="13" t="s">
        <v>47</v>
      </c>
    </row>
    <row r="39" spans="1:9" ht="16.5" x14ac:dyDescent="0.25">
      <c r="A39" s="11" t="s">
        <v>48</v>
      </c>
      <c r="B39" s="14">
        <v>8787000</v>
      </c>
      <c r="C39" s="13">
        <v>1000000</v>
      </c>
      <c r="D39" s="13">
        <v>3578000</v>
      </c>
      <c r="E39" s="14">
        <v>0</v>
      </c>
      <c r="F39" s="13">
        <f t="shared" si="0"/>
        <v>4578000</v>
      </c>
      <c r="G39" s="15">
        <v>4209000</v>
      </c>
      <c r="H39" s="15">
        <f t="shared" si="1"/>
        <v>0</v>
      </c>
      <c r="I39" s="13"/>
    </row>
    <row r="40" spans="1:9" ht="16.5" x14ac:dyDescent="0.25">
      <c r="A40" s="11" t="s">
        <v>49</v>
      </c>
      <c r="B40" s="14">
        <v>21463494.289999999</v>
      </c>
      <c r="C40" s="13">
        <v>0</v>
      </c>
      <c r="D40" s="13">
        <v>3800000</v>
      </c>
      <c r="E40" s="14">
        <v>0</v>
      </c>
      <c r="F40" s="13">
        <f t="shared" si="0"/>
        <v>3800000</v>
      </c>
      <c r="G40" s="15">
        <v>17663000</v>
      </c>
      <c r="H40" s="15">
        <f t="shared" si="1"/>
        <v>494.28999999910593</v>
      </c>
      <c r="I40" s="13"/>
    </row>
    <row r="41" spans="1:9" ht="16.5" x14ac:dyDescent="0.25">
      <c r="A41" s="17" t="s">
        <v>50</v>
      </c>
      <c r="B41" s="18">
        <v>21192765.469999999</v>
      </c>
      <c r="C41" s="19">
        <v>0</v>
      </c>
      <c r="D41" s="19">
        <v>7900000</v>
      </c>
      <c r="E41" s="18">
        <v>0</v>
      </c>
      <c r="F41" s="13">
        <f t="shared" si="0"/>
        <v>7900000</v>
      </c>
      <c r="G41" s="20">
        <v>13292000</v>
      </c>
      <c r="H41" s="15">
        <f t="shared" si="1"/>
        <v>765.46999999880791</v>
      </c>
      <c r="I41" s="13"/>
    </row>
    <row r="42" spans="1:9" ht="16.5" x14ac:dyDescent="0.25">
      <c r="A42" s="11" t="s">
        <v>51</v>
      </c>
      <c r="B42" s="14">
        <v>94999675.329999998</v>
      </c>
      <c r="C42" s="13">
        <v>0</v>
      </c>
      <c r="D42" s="13">
        <v>33665904.920000002</v>
      </c>
      <c r="E42" s="14">
        <v>0</v>
      </c>
      <c r="F42" s="13">
        <f t="shared" si="0"/>
        <v>33665904.920000002</v>
      </c>
      <c r="G42" s="15">
        <v>61333000</v>
      </c>
      <c r="H42" s="15">
        <f t="shared" si="1"/>
        <v>770.40999999642372</v>
      </c>
      <c r="I42" s="13"/>
    </row>
    <row r="43" spans="1:9" ht="16.5" x14ac:dyDescent="0.25">
      <c r="A43" s="11" t="s">
        <v>52</v>
      </c>
      <c r="B43" s="14">
        <v>8271343.96</v>
      </c>
      <c r="C43" s="13">
        <v>2000000</v>
      </c>
      <c r="D43" s="13">
        <v>0</v>
      </c>
      <c r="E43" s="14">
        <v>0</v>
      </c>
      <c r="F43" s="13">
        <f t="shared" si="0"/>
        <v>2000000</v>
      </c>
      <c r="G43" s="15">
        <v>6271000</v>
      </c>
      <c r="H43" s="15">
        <f t="shared" si="1"/>
        <v>343.95999999996275</v>
      </c>
      <c r="I43" s="16"/>
    </row>
    <row r="44" spans="1:9" ht="16.5" x14ac:dyDescent="0.25">
      <c r="A44" s="11" t="s">
        <v>53</v>
      </c>
      <c r="B44" s="14">
        <v>2019000</v>
      </c>
      <c r="C44" s="13">
        <v>0</v>
      </c>
      <c r="D44" s="13">
        <v>0</v>
      </c>
      <c r="E44" s="14">
        <v>0</v>
      </c>
      <c r="F44" s="13">
        <f t="shared" si="0"/>
        <v>0</v>
      </c>
      <c r="G44" s="15">
        <v>2019000</v>
      </c>
      <c r="H44" s="15">
        <f t="shared" si="1"/>
        <v>0</v>
      </c>
      <c r="I44" s="13"/>
    </row>
    <row r="45" spans="1:9" ht="16.5" x14ac:dyDescent="0.25">
      <c r="A45" s="11" t="s">
        <v>54</v>
      </c>
      <c r="B45" s="14"/>
      <c r="C45" s="13"/>
      <c r="D45" s="13"/>
      <c r="E45" s="14"/>
      <c r="F45" s="13">
        <f t="shared" si="0"/>
        <v>0</v>
      </c>
      <c r="G45" s="15">
        <v>3980000</v>
      </c>
      <c r="H45" s="15">
        <f t="shared" si="1"/>
        <v>-3980000</v>
      </c>
      <c r="I45" s="13" t="s">
        <v>55</v>
      </c>
    </row>
    <row r="46" spans="1:9" ht="16.5" x14ac:dyDescent="0.25">
      <c r="A46" s="17" t="s">
        <v>54</v>
      </c>
      <c r="B46" s="18"/>
      <c r="C46" s="19"/>
      <c r="D46" s="19"/>
      <c r="E46" s="18"/>
      <c r="F46" s="13">
        <f t="shared" si="0"/>
        <v>0</v>
      </c>
      <c r="G46" s="20">
        <v>3309000</v>
      </c>
      <c r="H46" s="15">
        <f t="shared" si="1"/>
        <v>-3309000</v>
      </c>
      <c r="I46" s="13" t="s">
        <v>56</v>
      </c>
    </row>
    <row r="47" spans="1:9" ht="16.5" hidden="1" x14ac:dyDescent="0.25">
      <c r="A47" s="11"/>
      <c r="B47" s="14"/>
      <c r="C47" s="13"/>
      <c r="D47" s="13"/>
      <c r="E47" s="13"/>
      <c r="F47" s="13">
        <f t="shared" si="0"/>
        <v>0</v>
      </c>
      <c r="G47" s="15"/>
      <c r="H47" s="15">
        <f t="shared" si="1"/>
        <v>0</v>
      </c>
      <c r="I47" s="13"/>
    </row>
    <row r="48" spans="1:9" ht="16.5" x14ac:dyDescent="0.25">
      <c r="A48" s="30" t="s">
        <v>57</v>
      </c>
      <c r="B48" s="31">
        <f t="shared" ref="B48:H48" si="2">+SUM(B4:B47)</f>
        <v>974429011.47000015</v>
      </c>
      <c r="C48" s="31">
        <f t="shared" si="2"/>
        <v>15959213.189999999</v>
      </c>
      <c r="D48" s="31">
        <f t="shared" si="2"/>
        <v>386973182.60000002</v>
      </c>
      <c r="E48" s="31">
        <f t="shared" si="2"/>
        <v>0</v>
      </c>
      <c r="F48" s="31">
        <f t="shared" si="2"/>
        <v>402932395.79000002</v>
      </c>
      <c r="G48" s="31">
        <f t="shared" si="2"/>
        <v>490073000</v>
      </c>
      <c r="H48" s="32">
        <f t="shared" si="2"/>
        <v>81423615.679999992</v>
      </c>
      <c r="I48" s="30"/>
    </row>
    <row r="49" spans="1:9" ht="16.5" x14ac:dyDescent="0.25">
      <c r="A49" s="33"/>
      <c r="B49" s="33"/>
      <c r="C49" s="33"/>
      <c r="D49" s="33"/>
      <c r="E49" s="33"/>
      <c r="F49" s="33"/>
      <c r="G49" s="34"/>
      <c r="H49" s="33"/>
      <c r="I49" s="33"/>
    </row>
    <row r="50" spans="1:9" ht="16.5" x14ac:dyDescent="0.25">
      <c r="A50" s="33" t="s">
        <v>58</v>
      </c>
      <c r="B50" s="33"/>
      <c r="C50" s="33"/>
      <c r="D50" s="33"/>
      <c r="E50" s="33"/>
      <c r="F50" s="33"/>
      <c r="G50" s="34">
        <v>26828000</v>
      </c>
      <c r="H50" s="33"/>
      <c r="I50" s="33"/>
    </row>
    <row r="51" spans="1:9" ht="16.5" x14ac:dyDescent="0.25">
      <c r="A51" s="33" t="s">
        <v>59</v>
      </c>
      <c r="B51" s="33"/>
      <c r="C51" s="33"/>
      <c r="D51" s="33"/>
      <c r="E51" s="33"/>
      <c r="F51" s="33"/>
      <c r="G51" s="34">
        <v>16051000</v>
      </c>
      <c r="H51" s="33"/>
      <c r="I51" s="33"/>
    </row>
    <row r="52" spans="1:9" ht="16.5" x14ac:dyDescent="0.25">
      <c r="A52" s="33" t="s">
        <v>60</v>
      </c>
      <c r="B52" s="33"/>
      <c r="C52" s="33"/>
      <c r="D52" s="33"/>
      <c r="E52" s="33"/>
      <c r="F52" s="33"/>
      <c r="G52" s="34">
        <v>12427000</v>
      </c>
      <c r="H52" s="33"/>
      <c r="I52" s="33"/>
    </row>
    <row r="53" spans="1:9" ht="16.5" x14ac:dyDescent="0.25">
      <c r="A53" s="33" t="s">
        <v>61</v>
      </c>
      <c r="B53" s="33"/>
      <c r="C53" s="33"/>
      <c r="D53" s="33"/>
      <c r="E53" s="33"/>
      <c r="F53" s="33"/>
      <c r="G53" s="34">
        <v>2463000</v>
      </c>
      <c r="H53" s="33"/>
      <c r="I53" s="33"/>
    </row>
    <row r="54" spans="1:9" ht="16.5" x14ac:dyDescent="0.25">
      <c r="A54" s="33" t="s">
        <v>62</v>
      </c>
      <c r="B54" s="33"/>
      <c r="C54" s="33"/>
      <c r="D54" s="33"/>
      <c r="E54" s="33"/>
      <c r="F54" s="33"/>
      <c r="G54" s="34">
        <f>22255803+7465905</f>
        <v>29721708</v>
      </c>
      <c r="H54" s="33"/>
      <c r="I54" s="33"/>
    </row>
    <row r="55" spans="1:9" ht="16.5" x14ac:dyDescent="0.25">
      <c r="A55" s="33" t="s">
        <v>63</v>
      </c>
      <c r="B55" s="33"/>
      <c r="C55" s="33"/>
      <c r="D55" s="33"/>
      <c r="E55" s="33"/>
      <c r="F55" s="33"/>
      <c r="G55" s="34">
        <f>6430363+2539331</f>
        <v>8969694</v>
      </c>
      <c r="H55" s="33"/>
      <c r="I55" s="33"/>
    </row>
    <row r="56" spans="1:9" ht="16.5" hidden="1" x14ac:dyDescent="0.25">
      <c r="A56" s="33" t="s">
        <v>64</v>
      </c>
      <c r="B56" s="33"/>
      <c r="C56" s="33"/>
      <c r="D56" s="33"/>
      <c r="E56" s="33"/>
      <c r="F56" s="33"/>
      <c r="G56" s="34"/>
      <c r="H56" s="33"/>
      <c r="I56" s="33"/>
    </row>
    <row r="57" spans="1:9" ht="16.5" hidden="1" x14ac:dyDescent="0.25">
      <c r="A57" s="33" t="s">
        <v>65</v>
      </c>
      <c r="B57" s="33"/>
      <c r="C57" s="33"/>
      <c r="D57" s="33"/>
      <c r="E57" s="33"/>
      <c r="F57" s="33"/>
      <c r="G57" s="34"/>
      <c r="H57" s="33"/>
      <c r="I57" s="33"/>
    </row>
    <row r="58" spans="1:9" ht="16.5" x14ac:dyDescent="0.25">
      <c r="A58" s="33"/>
      <c r="B58" s="33"/>
      <c r="C58" s="33"/>
      <c r="D58" s="33"/>
      <c r="E58" s="33"/>
      <c r="F58" s="33"/>
      <c r="G58" s="34"/>
      <c r="H58" s="33"/>
      <c r="I58" s="33"/>
    </row>
    <row r="59" spans="1:9" ht="16.5" x14ac:dyDescent="0.25">
      <c r="A59" s="35" t="s">
        <v>66</v>
      </c>
      <c r="B59" s="35"/>
      <c r="C59" s="35"/>
      <c r="D59" s="35"/>
      <c r="E59" s="35"/>
      <c r="F59" s="35"/>
      <c r="G59" s="36">
        <f>+SUM(G48:G58)</f>
        <v>586533402</v>
      </c>
      <c r="H59" s="35"/>
      <c r="I59" s="35"/>
    </row>
  </sheetData>
  <mergeCells count="6">
    <mergeCell ref="A1:I1"/>
    <mergeCell ref="A13:A14"/>
    <mergeCell ref="B13:B14"/>
    <mergeCell ref="F13:F14"/>
    <mergeCell ref="G13:G14"/>
    <mergeCell ref="H13:H14"/>
  </mergeCells>
  <pageMargins left="0.7" right="0.7" top="0.75" bottom="0.75" header="0.3" footer="0.3"/>
  <pageSetup paperSize="9" scale="66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2026-05-14T07:38:04Z</dcterms:created>
  <dcterms:modified xsi:type="dcterms:W3CDTF">2026-05-14T07:38:27Z</dcterms:modified>
</cp:coreProperties>
</file>